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cd\Documents\G5538_Concawe\Conc_Hist\"/>
    </mc:Choice>
  </mc:AlternateContent>
  <xr:revisionPtr revIDLastSave="0" documentId="13_ncr:1_{724B5CBF-8A39-441A-B349-AF0F65FC7065}" xr6:coauthVersionLast="45" xr6:coauthVersionMax="45" xr10:uidLastSave="{00000000-0000-0000-0000-000000000000}"/>
  <bookViews>
    <workbookView xWindow="3675" yWindow="255" windowWidth="18435" windowHeight="20730" xr2:uid="{5AEEA9FD-E5F3-4F93-982F-079869C7E7A4}"/>
  </bookViews>
  <sheets>
    <sheet name="Sheet1" sheetId="1" r:id="rId1"/>
  </sheets>
  <definedNames>
    <definedName name="A">Sheet1!$C$24</definedName>
    <definedName name="b">Sheet1!$C$7</definedName>
    <definedName name="den_N">Sheet1!$C$11</definedName>
    <definedName name="dt">Sheet1!$C$9</definedName>
    <definedName name="i">Sheet1!$C$5</definedName>
    <definedName name="K">Sheet1!$C$4</definedName>
    <definedName name="M_N">Sheet1!$C$27</definedName>
    <definedName name="n">Sheet1!$C$8</definedName>
    <definedName name="q">Sheet1!$C$23</definedName>
    <definedName name="Q_gw">Sheet1!$C$25</definedName>
    <definedName name="V_N">Sheet1!$C$10</definedName>
    <definedName name="w">Sheet1!$C$6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8" i="1" l="1"/>
  <c r="G17" i="1"/>
  <c r="D30" i="1" s="1"/>
  <c r="G16" i="1"/>
  <c r="C27" i="1"/>
  <c r="I17" i="1"/>
  <c r="J17" i="1" s="1"/>
  <c r="I16" i="1"/>
  <c r="J16" i="1" s="1"/>
  <c r="E17" i="1"/>
  <c r="E16" i="1"/>
  <c r="D18" i="1"/>
  <c r="E18" i="1" s="1"/>
  <c r="D19" i="1" l="1"/>
  <c r="E19" i="1"/>
  <c r="K16" i="1"/>
  <c r="K17" i="1"/>
  <c r="C30" i="1"/>
  <c r="I18" i="1"/>
  <c r="J19" i="1"/>
  <c r="I19" i="1" l="1"/>
  <c r="K18" i="1"/>
  <c r="K19" i="1" s="1"/>
  <c r="F18" i="1"/>
  <c r="E30" i="1" l="1"/>
  <c r="G19" i="1"/>
  <c r="H18" i="1" l="1"/>
  <c r="I30" i="1" s="1"/>
  <c r="C26" i="1"/>
  <c r="H16" i="1"/>
  <c r="H17" i="1"/>
  <c r="H30" i="1" s="1"/>
  <c r="G30" i="1" l="1"/>
  <c r="H19" i="1"/>
  <c r="F30" i="1" l="1"/>
  <c r="K30" i="1" s="1"/>
  <c r="N30" i="1" s="1"/>
  <c r="C24" i="1"/>
  <c r="C23" i="1"/>
  <c r="B30" i="1"/>
  <c r="A31" i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C25" i="1" l="1"/>
  <c r="D31" i="1"/>
  <c r="L30" i="1"/>
  <c r="O30" i="1" s="1"/>
  <c r="E31" i="1" s="1"/>
  <c r="J30" i="1"/>
  <c r="M30" i="1" s="1"/>
  <c r="C31" i="1" s="1"/>
  <c r="B55" i="1"/>
  <c r="A56" i="1"/>
  <c r="B49" i="1"/>
  <c r="B43" i="1"/>
  <c r="B50" i="1"/>
  <c r="B34" i="1"/>
  <c r="B33" i="1"/>
  <c r="B48" i="1"/>
  <c r="B40" i="1"/>
  <c r="B32" i="1"/>
  <c r="B35" i="1"/>
  <c r="B42" i="1"/>
  <c r="B41" i="1"/>
  <c r="B47" i="1"/>
  <c r="B39" i="1"/>
  <c r="B31" i="1"/>
  <c r="B54" i="1"/>
  <c r="B46" i="1"/>
  <c r="B38" i="1"/>
  <c r="B37" i="1"/>
  <c r="B51" i="1"/>
  <c r="B53" i="1"/>
  <c r="B45" i="1"/>
  <c r="B52" i="1"/>
  <c r="B44" i="1"/>
  <c r="B36" i="1"/>
  <c r="A57" i="1" l="1"/>
  <c r="B56" i="1"/>
  <c r="F31" i="1" l="1"/>
  <c r="H31" i="1" s="1"/>
  <c r="K31" i="1" s="1"/>
  <c r="I31" i="1"/>
  <c r="L31" i="1" s="1"/>
  <c r="A58" i="1"/>
  <c r="B57" i="1"/>
  <c r="G31" i="1" l="1"/>
  <c r="J31" i="1" s="1"/>
  <c r="M31" i="1" s="1"/>
  <c r="C32" i="1" s="1"/>
  <c r="N31" i="1"/>
  <c r="D32" i="1" s="1"/>
  <c r="B58" i="1"/>
  <c r="A59" i="1"/>
  <c r="O31" i="1"/>
  <c r="E32" i="1" s="1"/>
  <c r="F32" i="1" l="1"/>
  <c r="H32" i="1" s="1"/>
  <c r="K32" i="1" s="1"/>
  <c r="N32" i="1" s="1"/>
  <c r="D33" i="1" s="1"/>
  <c r="B59" i="1"/>
  <c r="A60" i="1"/>
  <c r="G32" i="1" l="1"/>
  <c r="J32" i="1" s="1"/>
  <c r="M32" i="1" s="1"/>
  <c r="C33" i="1" s="1"/>
  <c r="I32" i="1"/>
  <c r="L32" i="1" s="1"/>
  <c r="O32" i="1" s="1"/>
  <c r="E33" i="1" s="1"/>
  <c r="B60" i="1"/>
  <c r="A61" i="1"/>
  <c r="F33" i="1" l="1"/>
  <c r="B61" i="1"/>
  <c r="A62" i="1"/>
  <c r="H33" i="1" l="1"/>
  <c r="K33" i="1" s="1"/>
  <c r="N33" i="1" s="1"/>
  <c r="D34" i="1" s="1"/>
  <c r="G33" i="1"/>
  <c r="J33" i="1" s="1"/>
  <c r="M33" i="1" s="1"/>
  <c r="C34" i="1" s="1"/>
  <c r="I33" i="1"/>
  <c r="L33" i="1" s="1"/>
  <c r="O33" i="1" s="1"/>
  <c r="E34" i="1" s="1"/>
  <c r="B62" i="1"/>
  <c r="A63" i="1"/>
  <c r="F34" i="1" l="1"/>
  <c r="G34" i="1" s="1"/>
  <c r="J34" i="1" s="1"/>
  <c r="M34" i="1" s="1"/>
  <c r="C35" i="1" s="1"/>
  <c r="I34" i="1"/>
  <c r="L34" i="1" s="1"/>
  <c r="O34" i="1" s="1"/>
  <c r="E35" i="1" s="1"/>
  <c r="H34" i="1"/>
  <c r="K34" i="1" s="1"/>
  <c r="N34" i="1" s="1"/>
  <c r="B63" i="1"/>
  <c r="A64" i="1"/>
  <c r="D35" i="1" l="1"/>
  <c r="B64" i="1"/>
  <c r="A65" i="1"/>
  <c r="F35" i="1" l="1"/>
  <c r="H35" i="1" s="1"/>
  <c r="K35" i="1" s="1"/>
  <c r="N35" i="1" s="1"/>
  <c r="D36" i="1" s="1"/>
  <c r="B65" i="1"/>
  <c r="A66" i="1"/>
  <c r="G35" i="1" l="1"/>
  <c r="J35" i="1" s="1"/>
  <c r="M35" i="1" s="1"/>
  <c r="C36" i="1" s="1"/>
  <c r="I35" i="1"/>
  <c r="L35" i="1" s="1"/>
  <c r="O35" i="1" s="1"/>
  <c r="E36" i="1" s="1"/>
  <c r="A67" i="1"/>
  <c r="B66" i="1"/>
  <c r="F36" i="1" l="1"/>
  <c r="B67" i="1"/>
  <c r="A68" i="1"/>
  <c r="G36" i="1" l="1"/>
  <c r="J36" i="1" s="1"/>
  <c r="M36" i="1" s="1"/>
  <c r="C37" i="1" s="1"/>
  <c r="H36" i="1"/>
  <c r="K36" i="1" s="1"/>
  <c r="N36" i="1" s="1"/>
  <c r="D37" i="1" s="1"/>
  <c r="I36" i="1"/>
  <c r="L36" i="1" s="1"/>
  <c r="O36" i="1" s="1"/>
  <c r="E37" i="1" s="1"/>
  <c r="B68" i="1"/>
  <c r="A69" i="1"/>
  <c r="F37" i="1" l="1"/>
  <c r="G37" i="1" s="1"/>
  <c r="J37" i="1" s="1"/>
  <c r="M37" i="1" s="1"/>
  <c r="C38" i="1" s="1"/>
  <c r="B69" i="1"/>
  <c r="A70" i="1"/>
  <c r="I37" i="1" l="1"/>
  <c r="L37" i="1" s="1"/>
  <c r="O37" i="1" s="1"/>
  <c r="E38" i="1" s="1"/>
  <c r="H37" i="1"/>
  <c r="K37" i="1" s="1"/>
  <c r="N37" i="1" s="1"/>
  <c r="D38" i="1" s="1"/>
  <c r="A71" i="1"/>
  <c r="B70" i="1"/>
  <c r="F38" i="1" l="1"/>
  <c r="G38" i="1" s="1"/>
  <c r="J38" i="1" s="1"/>
  <c r="M38" i="1" s="1"/>
  <c r="C39" i="1" s="1"/>
  <c r="B71" i="1"/>
  <c r="A72" i="1"/>
  <c r="I38" i="1" l="1"/>
  <c r="L38" i="1" s="1"/>
  <c r="O38" i="1" s="1"/>
  <c r="E39" i="1" s="1"/>
  <c r="H38" i="1"/>
  <c r="K38" i="1" s="1"/>
  <c r="N38" i="1" s="1"/>
  <c r="D39" i="1" s="1"/>
  <c r="A73" i="1"/>
  <c r="B72" i="1"/>
  <c r="F39" i="1" l="1"/>
  <c r="G39" i="1" s="1"/>
  <c r="J39" i="1" s="1"/>
  <c r="M39" i="1" s="1"/>
  <c r="C40" i="1" s="1"/>
  <c r="A74" i="1"/>
  <c r="B73" i="1"/>
  <c r="H39" i="1" l="1"/>
  <c r="K39" i="1" s="1"/>
  <c r="N39" i="1" s="1"/>
  <c r="D40" i="1" s="1"/>
  <c r="I39" i="1"/>
  <c r="L39" i="1" s="1"/>
  <c r="O39" i="1" s="1"/>
  <c r="E40" i="1" s="1"/>
  <c r="B74" i="1"/>
  <c r="A75" i="1"/>
  <c r="F40" i="1" l="1"/>
  <c r="G40" i="1" s="1"/>
  <c r="J40" i="1" s="1"/>
  <c r="M40" i="1" s="1"/>
  <c r="C41" i="1" s="1"/>
  <c r="B75" i="1"/>
  <c r="A76" i="1"/>
  <c r="H40" i="1" l="1"/>
  <c r="K40" i="1" s="1"/>
  <c r="N40" i="1" s="1"/>
  <c r="D41" i="1" s="1"/>
  <c r="I40" i="1"/>
  <c r="L40" i="1" s="1"/>
  <c r="O40" i="1" s="1"/>
  <c r="E41" i="1" s="1"/>
  <c r="B76" i="1"/>
  <c r="A77" i="1"/>
  <c r="F41" i="1" l="1"/>
  <c r="G41" i="1" s="1"/>
  <c r="J41" i="1" s="1"/>
  <c r="M41" i="1" s="1"/>
  <c r="C42" i="1" s="1"/>
  <c r="A78" i="1"/>
  <c r="B77" i="1"/>
  <c r="I41" i="1" l="1"/>
  <c r="L41" i="1" s="1"/>
  <c r="O41" i="1" s="1"/>
  <c r="E42" i="1" s="1"/>
  <c r="H41" i="1"/>
  <c r="K41" i="1" s="1"/>
  <c r="N41" i="1" s="1"/>
  <c r="D42" i="1" s="1"/>
  <c r="B78" i="1"/>
  <c r="A79" i="1"/>
  <c r="F42" i="1" l="1"/>
  <c r="G42" i="1" s="1"/>
  <c r="J42" i="1" s="1"/>
  <c r="M42" i="1" s="1"/>
  <c r="C43" i="1" s="1"/>
  <c r="B79" i="1"/>
  <c r="A80" i="1"/>
  <c r="I42" i="1" l="1"/>
  <c r="L42" i="1" s="1"/>
  <c r="O42" i="1" s="1"/>
  <c r="E43" i="1" s="1"/>
  <c r="H42" i="1"/>
  <c r="K42" i="1" s="1"/>
  <c r="N42" i="1" s="1"/>
  <c r="D43" i="1" s="1"/>
  <c r="A81" i="1"/>
  <c r="B80" i="1"/>
  <c r="F43" i="1" l="1"/>
  <c r="G43" i="1" s="1"/>
  <c r="J43" i="1" s="1"/>
  <c r="M43" i="1" s="1"/>
  <c r="C44" i="1" s="1"/>
  <c r="B81" i="1"/>
  <c r="A82" i="1"/>
  <c r="I43" i="1" l="1"/>
  <c r="L43" i="1" s="1"/>
  <c r="O43" i="1" s="1"/>
  <c r="E44" i="1" s="1"/>
  <c r="H43" i="1"/>
  <c r="K43" i="1" s="1"/>
  <c r="N43" i="1" s="1"/>
  <c r="D44" i="1" s="1"/>
  <c r="A83" i="1"/>
  <c r="B82" i="1"/>
  <c r="F44" i="1" l="1"/>
  <c r="G44" i="1" s="1"/>
  <c r="J44" i="1" s="1"/>
  <c r="M44" i="1" s="1"/>
  <c r="C45" i="1" s="1"/>
  <c r="A84" i="1"/>
  <c r="B83" i="1"/>
  <c r="H44" i="1" l="1"/>
  <c r="K44" i="1" s="1"/>
  <c r="N44" i="1" s="1"/>
  <c r="D45" i="1" s="1"/>
  <c r="I44" i="1"/>
  <c r="L44" i="1" s="1"/>
  <c r="O44" i="1" s="1"/>
  <c r="E45" i="1" s="1"/>
  <c r="B84" i="1"/>
  <c r="A85" i="1"/>
  <c r="F45" i="1" l="1"/>
  <c r="A86" i="1"/>
  <c r="B85" i="1"/>
  <c r="I45" i="1" l="1"/>
  <c r="L45" i="1" s="1"/>
  <c r="O45" i="1" s="1"/>
  <c r="E46" i="1" s="1"/>
  <c r="G45" i="1"/>
  <c r="J45" i="1" s="1"/>
  <c r="M45" i="1" s="1"/>
  <c r="C46" i="1" s="1"/>
  <c r="H45" i="1"/>
  <c r="K45" i="1" s="1"/>
  <c r="N45" i="1" s="1"/>
  <c r="D46" i="1" s="1"/>
  <c r="B86" i="1"/>
  <c r="A87" i="1"/>
  <c r="F46" i="1" l="1"/>
  <c r="H46" i="1" s="1"/>
  <c r="K46" i="1" s="1"/>
  <c r="N46" i="1" s="1"/>
  <c r="G46" i="1"/>
  <c r="J46" i="1" s="1"/>
  <c r="M46" i="1" s="1"/>
  <c r="C47" i="1" s="1"/>
  <c r="D47" i="1"/>
  <c r="I46" i="1"/>
  <c r="L46" i="1" s="1"/>
  <c r="O46" i="1" s="1"/>
  <c r="E47" i="1" s="1"/>
  <c r="B87" i="1"/>
  <c r="A88" i="1"/>
  <c r="F47" i="1" l="1"/>
  <c r="H47" i="1" s="1"/>
  <c r="K47" i="1" s="1"/>
  <c r="N47" i="1" s="1"/>
  <c r="D48" i="1" s="1"/>
  <c r="B88" i="1"/>
  <c r="A89" i="1"/>
  <c r="G47" i="1" l="1"/>
  <c r="J47" i="1" s="1"/>
  <c r="M47" i="1" s="1"/>
  <c r="C48" i="1" s="1"/>
  <c r="I47" i="1"/>
  <c r="L47" i="1" s="1"/>
  <c r="O47" i="1" s="1"/>
  <c r="E48" i="1" s="1"/>
  <c r="A90" i="1"/>
  <c r="B89" i="1"/>
  <c r="F48" i="1" l="1"/>
  <c r="H48" i="1" s="1"/>
  <c r="K48" i="1" s="1"/>
  <c r="N48" i="1" s="1"/>
  <c r="D49" i="1" s="1"/>
  <c r="A91" i="1"/>
  <c r="B90" i="1"/>
  <c r="G48" i="1" l="1"/>
  <c r="J48" i="1" s="1"/>
  <c r="M48" i="1" s="1"/>
  <c r="C49" i="1" s="1"/>
  <c r="I48" i="1"/>
  <c r="L48" i="1" s="1"/>
  <c r="O48" i="1" s="1"/>
  <c r="E49" i="1" s="1"/>
  <c r="B91" i="1"/>
  <c r="A92" i="1"/>
  <c r="F49" i="1" l="1"/>
  <c r="A93" i="1"/>
  <c r="B92" i="1"/>
  <c r="G49" i="1" l="1"/>
  <c r="J49" i="1" s="1"/>
  <c r="M49" i="1" s="1"/>
  <c r="C50" i="1" s="1"/>
  <c r="H49" i="1"/>
  <c r="K49" i="1" s="1"/>
  <c r="N49" i="1" s="1"/>
  <c r="D50" i="1" s="1"/>
  <c r="I49" i="1"/>
  <c r="L49" i="1" s="1"/>
  <c r="O49" i="1" s="1"/>
  <c r="E50" i="1" s="1"/>
  <c r="B93" i="1"/>
  <c r="A94" i="1"/>
  <c r="F50" i="1" l="1"/>
  <c r="H50" i="1" s="1"/>
  <c r="K50" i="1" s="1"/>
  <c r="N50" i="1" s="1"/>
  <c r="D51" i="1" s="1"/>
  <c r="G50" i="1"/>
  <c r="J50" i="1" s="1"/>
  <c r="M50" i="1" s="1"/>
  <c r="C51" i="1" s="1"/>
  <c r="A95" i="1"/>
  <c r="B94" i="1"/>
  <c r="I50" i="1" l="1"/>
  <c r="L50" i="1" s="1"/>
  <c r="O50" i="1" s="1"/>
  <c r="E51" i="1" s="1"/>
  <c r="B95" i="1"/>
  <c r="A96" i="1"/>
  <c r="F51" i="1" l="1"/>
  <c r="A97" i="1"/>
  <c r="B96" i="1"/>
  <c r="I51" i="1" l="1"/>
  <c r="L51" i="1" s="1"/>
  <c r="O51" i="1" s="1"/>
  <c r="E52" i="1" s="1"/>
  <c r="G51" i="1"/>
  <c r="J51" i="1" s="1"/>
  <c r="M51" i="1" s="1"/>
  <c r="C52" i="1" s="1"/>
  <c r="H51" i="1"/>
  <c r="K51" i="1" s="1"/>
  <c r="N51" i="1" s="1"/>
  <c r="D52" i="1" s="1"/>
  <c r="A98" i="1"/>
  <c r="B97" i="1"/>
  <c r="F52" i="1" l="1"/>
  <c r="G52" i="1"/>
  <c r="J52" i="1" s="1"/>
  <c r="M52" i="1" s="1"/>
  <c r="C53" i="1" s="1"/>
  <c r="H52" i="1"/>
  <c r="K52" i="1" s="1"/>
  <c r="N52" i="1" s="1"/>
  <c r="D53" i="1" s="1"/>
  <c r="I52" i="1"/>
  <c r="L52" i="1" s="1"/>
  <c r="O52" i="1" s="1"/>
  <c r="E53" i="1" s="1"/>
  <c r="B98" i="1"/>
  <c r="A99" i="1"/>
  <c r="F53" i="1" l="1"/>
  <c r="G53" i="1" s="1"/>
  <c r="J53" i="1" s="1"/>
  <c r="M53" i="1" s="1"/>
  <c r="C54" i="1" s="1"/>
  <c r="B99" i="1"/>
  <c r="A100" i="1"/>
  <c r="I53" i="1" l="1"/>
  <c r="L53" i="1" s="1"/>
  <c r="O53" i="1" s="1"/>
  <c r="E54" i="1" s="1"/>
  <c r="H53" i="1"/>
  <c r="K53" i="1" s="1"/>
  <c r="N53" i="1" s="1"/>
  <c r="D54" i="1" s="1"/>
  <c r="B100" i="1"/>
  <c r="A101" i="1"/>
  <c r="F54" i="1" l="1"/>
  <c r="G54" i="1" s="1"/>
  <c r="J54" i="1" s="1"/>
  <c r="M54" i="1" s="1"/>
  <c r="C55" i="1" s="1"/>
  <c r="A102" i="1"/>
  <c r="B101" i="1"/>
  <c r="I54" i="1" l="1"/>
  <c r="L54" i="1" s="1"/>
  <c r="O54" i="1" s="1"/>
  <c r="E55" i="1" s="1"/>
  <c r="H54" i="1"/>
  <c r="K54" i="1" s="1"/>
  <c r="N54" i="1" s="1"/>
  <c r="D55" i="1" s="1"/>
  <c r="B102" i="1"/>
  <c r="A103" i="1"/>
  <c r="F55" i="1" l="1"/>
  <c r="G55" i="1" s="1"/>
  <c r="J55" i="1" s="1"/>
  <c r="M55" i="1" s="1"/>
  <c r="C56" i="1" s="1"/>
  <c r="B103" i="1"/>
  <c r="A104" i="1"/>
  <c r="I55" i="1" l="1"/>
  <c r="L55" i="1" s="1"/>
  <c r="O55" i="1" s="1"/>
  <c r="E56" i="1" s="1"/>
  <c r="H55" i="1"/>
  <c r="K55" i="1" s="1"/>
  <c r="N55" i="1" s="1"/>
  <c r="D56" i="1" s="1"/>
  <c r="A105" i="1"/>
  <c r="B104" i="1"/>
  <c r="F56" i="1" l="1"/>
  <c r="G56" i="1" s="1"/>
  <c r="J56" i="1" s="1"/>
  <c r="M56" i="1" s="1"/>
  <c r="C57" i="1" s="1"/>
  <c r="B105" i="1"/>
  <c r="A106" i="1"/>
  <c r="I56" i="1" l="1"/>
  <c r="L56" i="1" s="1"/>
  <c r="O56" i="1" s="1"/>
  <c r="E57" i="1" s="1"/>
  <c r="H56" i="1"/>
  <c r="K56" i="1" s="1"/>
  <c r="N56" i="1" s="1"/>
  <c r="D57" i="1" s="1"/>
  <c r="B106" i="1"/>
  <c r="A107" i="1"/>
  <c r="F57" i="1" l="1"/>
  <c r="G57" i="1" s="1"/>
  <c r="J57" i="1" s="1"/>
  <c r="M57" i="1" s="1"/>
  <c r="C58" i="1" s="1"/>
  <c r="B107" i="1"/>
  <c r="A108" i="1"/>
  <c r="I57" i="1" l="1"/>
  <c r="L57" i="1" s="1"/>
  <c r="O57" i="1" s="1"/>
  <c r="E58" i="1" s="1"/>
  <c r="H57" i="1"/>
  <c r="K57" i="1" s="1"/>
  <c r="N57" i="1" s="1"/>
  <c r="D58" i="1" s="1"/>
  <c r="A109" i="1"/>
  <c r="B108" i="1"/>
  <c r="F58" i="1" l="1"/>
  <c r="G58" i="1" s="1"/>
  <c r="J58" i="1" s="1"/>
  <c r="M58" i="1" s="1"/>
  <c r="C59" i="1" s="1"/>
  <c r="A110" i="1"/>
  <c r="B109" i="1"/>
  <c r="I58" i="1" l="1"/>
  <c r="L58" i="1" s="1"/>
  <c r="O58" i="1" s="1"/>
  <c r="E59" i="1" s="1"/>
  <c r="H58" i="1"/>
  <c r="K58" i="1" s="1"/>
  <c r="N58" i="1" s="1"/>
  <c r="D59" i="1" s="1"/>
  <c r="A111" i="1"/>
  <c r="B110" i="1"/>
  <c r="F59" i="1" l="1"/>
  <c r="G59" i="1" s="1"/>
  <c r="J59" i="1" s="1"/>
  <c r="M59" i="1" s="1"/>
  <c r="C60" i="1" s="1"/>
  <c r="B111" i="1"/>
  <c r="A112" i="1"/>
  <c r="I59" i="1" l="1"/>
  <c r="L59" i="1" s="1"/>
  <c r="O59" i="1" s="1"/>
  <c r="E60" i="1" s="1"/>
  <c r="H59" i="1"/>
  <c r="K59" i="1" s="1"/>
  <c r="N59" i="1" s="1"/>
  <c r="D60" i="1" s="1"/>
  <c r="F60" i="1" s="1"/>
  <c r="G60" i="1" s="1"/>
  <c r="J60" i="1" s="1"/>
  <c r="M60" i="1" s="1"/>
  <c r="C61" i="1" s="1"/>
  <c r="A113" i="1"/>
  <c r="B112" i="1"/>
  <c r="H60" i="1" l="1"/>
  <c r="K60" i="1" s="1"/>
  <c r="N60" i="1" s="1"/>
  <c r="D61" i="1" s="1"/>
  <c r="I60" i="1"/>
  <c r="L60" i="1" s="1"/>
  <c r="O60" i="1" s="1"/>
  <c r="E61" i="1" s="1"/>
  <c r="A114" i="1"/>
  <c r="B113" i="1"/>
  <c r="F61" i="1" l="1"/>
  <c r="G61" i="1" s="1"/>
  <c r="J61" i="1" s="1"/>
  <c r="M61" i="1" s="1"/>
  <c r="C62" i="1" s="1"/>
  <c r="B114" i="1"/>
  <c r="A115" i="1"/>
  <c r="H61" i="1" l="1"/>
  <c r="K61" i="1" s="1"/>
  <c r="N61" i="1" s="1"/>
  <c r="D62" i="1" s="1"/>
  <c r="I61" i="1"/>
  <c r="L61" i="1" s="1"/>
  <c r="O61" i="1" s="1"/>
  <c r="E62" i="1" s="1"/>
  <c r="B115" i="1"/>
  <c r="A116" i="1"/>
  <c r="F62" i="1" l="1"/>
  <c r="G62" i="1" s="1"/>
  <c r="J62" i="1" s="1"/>
  <c r="M62" i="1" s="1"/>
  <c r="C63" i="1" s="1"/>
  <c r="A117" i="1"/>
  <c r="B116" i="1"/>
  <c r="H62" i="1" l="1"/>
  <c r="K62" i="1" s="1"/>
  <c r="N62" i="1" s="1"/>
  <c r="D63" i="1" s="1"/>
  <c r="I62" i="1"/>
  <c r="L62" i="1" s="1"/>
  <c r="O62" i="1" s="1"/>
  <c r="E63" i="1" s="1"/>
  <c r="A118" i="1"/>
  <c r="B117" i="1"/>
  <c r="F63" i="1" l="1"/>
  <c r="G63" i="1" s="1"/>
  <c r="J63" i="1" s="1"/>
  <c r="M63" i="1" s="1"/>
  <c r="C64" i="1" s="1"/>
  <c r="B118" i="1"/>
  <c r="A119" i="1"/>
  <c r="H63" i="1" l="1"/>
  <c r="K63" i="1" s="1"/>
  <c r="N63" i="1" s="1"/>
  <c r="D64" i="1" s="1"/>
  <c r="I63" i="1"/>
  <c r="L63" i="1" s="1"/>
  <c r="O63" i="1" s="1"/>
  <c r="E64" i="1" s="1"/>
  <c r="B119" i="1"/>
  <c r="A120" i="1"/>
  <c r="F64" i="1" l="1"/>
  <c r="G64" i="1" s="1"/>
  <c r="J64" i="1" s="1"/>
  <c r="M64" i="1" s="1"/>
  <c r="C65" i="1" s="1"/>
  <c r="A121" i="1"/>
  <c r="B120" i="1"/>
  <c r="H64" i="1" l="1"/>
  <c r="K64" i="1" s="1"/>
  <c r="N64" i="1" s="1"/>
  <c r="D65" i="1" s="1"/>
  <c r="I64" i="1"/>
  <c r="L64" i="1" s="1"/>
  <c r="O64" i="1" s="1"/>
  <c r="E65" i="1" s="1"/>
  <c r="A122" i="1"/>
  <c r="B121" i="1"/>
  <c r="F65" i="1" l="1"/>
  <c r="G65" i="1" s="1"/>
  <c r="J65" i="1" s="1"/>
  <c r="M65" i="1" s="1"/>
  <c r="C66" i="1" s="1"/>
  <c r="B122" i="1"/>
  <c r="A123" i="1"/>
  <c r="H65" i="1" l="1"/>
  <c r="K65" i="1" s="1"/>
  <c r="N65" i="1" s="1"/>
  <c r="D66" i="1" s="1"/>
  <c r="I65" i="1"/>
  <c r="L65" i="1" s="1"/>
  <c r="O65" i="1" s="1"/>
  <c r="E66" i="1" s="1"/>
  <c r="B123" i="1"/>
  <c r="A124" i="1"/>
  <c r="F66" i="1" l="1"/>
  <c r="G66" i="1" s="1"/>
  <c r="J66" i="1" s="1"/>
  <c r="M66" i="1" s="1"/>
  <c r="C67" i="1" s="1"/>
  <c r="B124" i="1"/>
  <c r="A125" i="1"/>
  <c r="H66" i="1" l="1"/>
  <c r="K66" i="1" s="1"/>
  <c r="N66" i="1" s="1"/>
  <c r="D67" i="1" s="1"/>
  <c r="I66" i="1"/>
  <c r="L66" i="1" s="1"/>
  <c r="O66" i="1" s="1"/>
  <c r="E67" i="1" s="1"/>
  <c r="A126" i="1"/>
  <c r="B125" i="1"/>
  <c r="F67" i="1" l="1"/>
  <c r="G67" i="1" s="1"/>
  <c r="J67" i="1" s="1"/>
  <c r="M67" i="1" s="1"/>
  <c r="C68" i="1" s="1"/>
  <c r="A127" i="1"/>
  <c r="B126" i="1"/>
  <c r="I67" i="1" l="1"/>
  <c r="L67" i="1" s="1"/>
  <c r="O67" i="1" s="1"/>
  <c r="E68" i="1" s="1"/>
  <c r="H67" i="1"/>
  <c r="K67" i="1" s="1"/>
  <c r="N67" i="1" s="1"/>
  <c r="D68" i="1" s="1"/>
  <c r="B127" i="1"/>
  <c r="A128" i="1"/>
  <c r="F68" i="1" l="1"/>
  <c r="G68" i="1" s="1"/>
  <c r="J68" i="1" s="1"/>
  <c r="M68" i="1" s="1"/>
  <c r="C69" i="1" s="1"/>
  <c r="I68" i="1"/>
  <c r="L68" i="1" s="1"/>
  <c r="O68" i="1" s="1"/>
  <c r="E69" i="1" s="1"/>
  <c r="A129" i="1"/>
  <c r="B128" i="1"/>
  <c r="H68" i="1" l="1"/>
  <c r="K68" i="1" s="1"/>
  <c r="N68" i="1" s="1"/>
  <c r="D69" i="1" s="1"/>
  <c r="A130" i="1"/>
  <c r="B130" i="1" s="1"/>
  <c r="B129" i="1"/>
  <c r="F69" i="1" l="1"/>
  <c r="G69" i="1" l="1"/>
  <c r="J69" i="1" s="1"/>
  <c r="M69" i="1" s="1"/>
  <c r="C70" i="1" s="1"/>
  <c r="I69" i="1"/>
  <c r="L69" i="1" s="1"/>
  <c r="O69" i="1" s="1"/>
  <c r="E70" i="1" s="1"/>
  <c r="H69" i="1"/>
  <c r="K69" i="1" s="1"/>
  <c r="N69" i="1" s="1"/>
  <c r="D70" i="1" s="1"/>
  <c r="F70" i="1" l="1"/>
  <c r="G70" i="1" s="1"/>
  <c r="J70" i="1" s="1"/>
  <c r="M70" i="1" s="1"/>
  <c r="C71" i="1" s="1"/>
  <c r="H70" i="1" l="1"/>
  <c r="K70" i="1" s="1"/>
  <c r="N70" i="1" s="1"/>
  <c r="D71" i="1" s="1"/>
  <c r="I70" i="1"/>
  <c r="L70" i="1" s="1"/>
  <c r="O70" i="1" s="1"/>
  <c r="E71" i="1" s="1"/>
  <c r="F71" i="1" l="1"/>
  <c r="G71" i="1" s="1"/>
  <c r="J71" i="1" s="1"/>
  <c r="M71" i="1" s="1"/>
  <c r="C72" i="1" s="1"/>
  <c r="H71" i="1" l="1"/>
  <c r="K71" i="1" s="1"/>
  <c r="N71" i="1" s="1"/>
  <c r="D72" i="1" s="1"/>
  <c r="I71" i="1"/>
  <c r="L71" i="1" s="1"/>
  <c r="O71" i="1" s="1"/>
  <c r="E72" i="1" s="1"/>
  <c r="F72" i="1" l="1"/>
  <c r="G72" i="1" s="1"/>
  <c r="J72" i="1" s="1"/>
  <c r="M72" i="1" s="1"/>
  <c r="C73" i="1" s="1"/>
  <c r="H72" i="1" l="1"/>
  <c r="K72" i="1" s="1"/>
  <c r="N72" i="1" s="1"/>
  <c r="D73" i="1" s="1"/>
  <c r="I72" i="1"/>
  <c r="L72" i="1" s="1"/>
  <c r="O72" i="1" s="1"/>
  <c r="E73" i="1" s="1"/>
  <c r="F73" i="1" l="1"/>
  <c r="G73" i="1" s="1"/>
  <c r="J73" i="1" s="1"/>
  <c r="M73" i="1" s="1"/>
  <c r="C74" i="1" s="1"/>
  <c r="H73" i="1" l="1"/>
  <c r="K73" i="1" s="1"/>
  <c r="N73" i="1" s="1"/>
  <c r="D74" i="1" s="1"/>
  <c r="I73" i="1"/>
  <c r="L73" i="1" s="1"/>
  <c r="O73" i="1" s="1"/>
  <c r="E74" i="1" s="1"/>
  <c r="F74" i="1" l="1"/>
  <c r="G74" i="1" s="1"/>
  <c r="J74" i="1" s="1"/>
  <c r="M74" i="1" s="1"/>
  <c r="C75" i="1" s="1"/>
  <c r="H74" i="1" l="1"/>
  <c r="K74" i="1" s="1"/>
  <c r="N74" i="1" s="1"/>
  <c r="D75" i="1" s="1"/>
  <c r="I74" i="1"/>
  <c r="L74" i="1" s="1"/>
  <c r="O74" i="1" s="1"/>
  <c r="E75" i="1" s="1"/>
  <c r="F75" i="1" l="1"/>
  <c r="G75" i="1" s="1"/>
  <c r="J75" i="1" s="1"/>
  <c r="M75" i="1" s="1"/>
  <c r="C76" i="1" s="1"/>
  <c r="I75" i="1"/>
  <c r="L75" i="1" s="1"/>
  <c r="O75" i="1" s="1"/>
  <c r="E76" i="1" s="1"/>
  <c r="H75" i="1" l="1"/>
  <c r="K75" i="1" s="1"/>
  <c r="N75" i="1" s="1"/>
  <c r="D76" i="1" s="1"/>
  <c r="F76" i="1" l="1"/>
  <c r="G76" i="1" l="1"/>
  <c r="J76" i="1" s="1"/>
  <c r="M76" i="1" s="1"/>
  <c r="C77" i="1" s="1"/>
  <c r="I76" i="1"/>
  <c r="L76" i="1" s="1"/>
  <c r="O76" i="1" s="1"/>
  <c r="E77" i="1" s="1"/>
  <c r="H76" i="1"/>
  <c r="K76" i="1" s="1"/>
  <c r="N76" i="1" s="1"/>
  <c r="D77" i="1" s="1"/>
  <c r="F77" i="1" l="1"/>
  <c r="G77" i="1" s="1"/>
  <c r="J77" i="1" s="1"/>
  <c r="M77" i="1" s="1"/>
  <c r="C78" i="1" s="1"/>
  <c r="H77" i="1" l="1"/>
  <c r="K77" i="1" s="1"/>
  <c r="N77" i="1" s="1"/>
  <c r="D78" i="1" s="1"/>
  <c r="I77" i="1"/>
  <c r="L77" i="1" s="1"/>
  <c r="O77" i="1" s="1"/>
  <c r="E78" i="1" s="1"/>
  <c r="F78" i="1" l="1"/>
  <c r="G78" i="1" s="1"/>
  <c r="J78" i="1" s="1"/>
  <c r="M78" i="1" s="1"/>
  <c r="C79" i="1" s="1"/>
  <c r="I78" i="1" l="1"/>
  <c r="L78" i="1" s="1"/>
  <c r="O78" i="1" s="1"/>
  <c r="E79" i="1" s="1"/>
  <c r="H78" i="1"/>
  <c r="K78" i="1" s="1"/>
  <c r="N78" i="1" s="1"/>
  <c r="D79" i="1" s="1"/>
  <c r="F79" i="1" l="1"/>
  <c r="G79" i="1" s="1"/>
  <c r="J79" i="1" s="1"/>
  <c r="M79" i="1" s="1"/>
  <c r="C80" i="1" s="1"/>
  <c r="I79" i="1" l="1"/>
  <c r="L79" i="1" s="1"/>
  <c r="O79" i="1" s="1"/>
  <c r="E80" i="1" s="1"/>
  <c r="H79" i="1"/>
  <c r="K79" i="1" s="1"/>
  <c r="N79" i="1" s="1"/>
  <c r="D80" i="1" s="1"/>
  <c r="F80" i="1" l="1"/>
  <c r="G80" i="1" s="1"/>
  <c r="J80" i="1" s="1"/>
  <c r="M80" i="1" s="1"/>
  <c r="C81" i="1" s="1"/>
  <c r="I80" i="1" l="1"/>
  <c r="L80" i="1" s="1"/>
  <c r="O80" i="1" s="1"/>
  <c r="E81" i="1" s="1"/>
  <c r="H80" i="1"/>
  <c r="K80" i="1" s="1"/>
  <c r="N80" i="1" s="1"/>
  <c r="D81" i="1" s="1"/>
  <c r="F81" i="1" l="1"/>
  <c r="G81" i="1" s="1"/>
  <c r="J81" i="1" s="1"/>
  <c r="M81" i="1" s="1"/>
  <c r="C82" i="1" s="1"/>
  <c r="I81" i="1" l="1"/>
  <c r="L81" i="1" s="1"/>
  <c r="O81" i="1" s="1"/>
  <c r="E82" i="1" s="1"/>
  <c r="H81" i="1"/>
  <c r="K81" i="1" s="1"/>
  <c r="N81" i="1" s="1"/>
  <c r="D82" i="1" s="1"/>
  <c r="F82" i="1" l="1"/>
  <c r="G82" i="1" s="1"/>
  <c r="J82" i="1" s="1"/>
  <c r="M82" i="1" s="1"/>
  <c r="C83" i="1" s="1"/>
  <c r="I82" i="1" l="1"/>
  <c r="L82" i="1" s="1"/>
  <c r="O82" i="1" s="1"/>
  <c r="E83" i="1" s="1"/>
  <c r="H82" i="1"/>
  <c r="K82" i="1" s="1"/>
  <c r="N82" i="1" s="1"/>
  <c r="D83" i="1" s="1"/>
  <c r="F83" i="1" l="1"/>
  <c r="G83" i="1" s="1"/>
  <c r="J83" i="1" s="1"/>
  <c r="M83" i="1" s="1"/>
  <c r="C84" i="1" s="1"/>
  <c r="I83" i="1" l="1"/>
  <c r="L83" i="1" s="1"/>
  <c r="O83" i="1" s="1"/>
  <c r="E84" i="1" s="1"/>
  <c r="H83" i="1"/>
  <c r="K83" i="1" s="1"/>
  <c r="N83" i="1" s="1"/>
  <c r="D84" i="1" s="1"/>
  <c r="F84" i="1" l="1"/>
  <c r="G84" i="1" s="1"/>
  <c r="J84" i="1" s="1"/>
  <c r="M84" i="1" s="1"/>
  <c r="C85" i="1" s="1"/>
  <c r="I84" i="1"/>
  <c r="L84" i="1" s="1"/>
  <c r="O84" i="1" s="1"/>
  <c r="E85" i="1" s="1"/>
  <c r="H84" i="1" l="1"/>
  <c r="K84" i="1" s="1"/>
  <c r="N84" i="1" s="1"/>
  <c r="D85" i="1" s="1"/>
  <c r="F85" i="1" l="1"/>
  <c r="G85" i="1" l="1"/>
  <c r="J85" i="1" s="1"/>
  <c r="M85" i="1" s="1"/>
  <c r="C86" i="1" s="1"/>
  <c r="I85" i="1"/>
  <c r="L85" i="1" s="1"/>
  <c r="O85" i="1" s="1"/>
  <c r="E86" i="1" s="1"/>
  <c r="H85" i="1"/>
  <c r="K85" i="1" s="1"/>
  <c r="N85" i="1" s="1"/>
  <c r="D86" i="1" s="1"/>
  <c r="F86" i="1" l="1"/>
  <c r="G86" i="1" s="1"/>
  <c r="J86" i="1" s="1"/>
  <c r="M86" i="1" s="1"/>
  <c r="C87" i="1" s="1"/>
  <c r="H86" i="1" l="1"/>
  <c r="K86" i="1" s="1"/>
  <c r="N86" i="1" s="1"/>
  <c r="D87" i="1" s="1"/>
  <c r="I86" i="1"/>
  <c r="L86" i="1" s="1"/>
  <c r="O86" i="1" s="1"/>
  <c r="E87" i="1" s="1"/>
  <c r="F87" i="1" l="1"/>
  <c r="G87" i="1" s="1"/>
  <c r="J87" i="1" s="1"/>
  <c r="M87" i="1" s="1"/>
  <c r="C88" i="1" s="1"/>
  <c r="H87" i="1" l="1"/>
  <c r="K87" i="1" s="1"/>
  <c r="N87" i="1" s="1"/>
  <c r="D88" i="1" s="1"/>
  <c r="I87" i="1"/>
  <c r="L87" i="1" s="1"/>
  <c r="O87" i="1" s="1"/>
  <c r="E88" i="1" s="1"/>
  <c r="F88" i="1" l="1"/>
  <c r="G88" i="1" s="1"/>
  <c r="J88" i="1" s="1"/>
  <c r="M88" i="1" s="1"/>
  <c r="C89" i="1" s="1"/>
  <c r="H88" i="1" l="1"/>
  <c r="K88" i="1" s="1"/>
  <c r="N88" i="1" s="1"/>
  <c r="D89" i="1" s="1"/>
  <c r="I88" i="1"/>
  <c r="L88" i="1" s="1"/>
  <c r="O88" i="1" s="1"/>
  <c r="E89" i="1" s="1"/>
  <c r="F89" i="1" l="1"/>
  <c r="G89" i="1" s="1"/>
  <c r="J89" i="1" s="1"/>
  <c r="M89" i="1" s="1"/>
  <c r="C90" i="1" s="1"/>
  <c r="H89" i="1" l="1"/>
  <c r="K89" i="1" s="1"/>
  <c r="N89" i="1" s="1"/>
  <c r="D90" i="1" s="1"/>
  <c r="I89" i="1"/>
  <c r="L89" i="1" s="1"/>
  <c r="O89" i="1" s="1"/>
  <c r="E90" i="1" s="1"/>
  <c r="F90" i="1" l="1"/>
  <c r="G90" i="1" s="1"/>
  <c r="J90" i="1" s="1"/>
  <c r="M90" i="1" s="1"/>
  <c r="C91" i="1" s="1"/>
  <c r="H90" i="1" l="1"/>
  <c r="K90" i="1" s="1"/>
  <c r="N90" i="1" s="1"/>
  <c r="D91" i="1" s="1"/>
  <c r="I90" i="1"/>
  <c r="L90" i="1" s="1"/>
  <c r="O90" i="1" s="1"/>
  <c r="E91" i="1" s="1"/>
  <c r="F91" i="1" l="1"/>
  <c r="G91" i="1" s="1"/>
  <c r="J91" i="1" s="1"/>
  <c r="M91" i="1" s="1"/>
  <c r="C92" i="1" s="1"/>
  <c r="H91" i="1" l="1"/>
  <c r="K91" i="1" s="1"/>
  <c r="N91" i="1" s="1"/>
  <c r="D92" i="1" s="1"/>
  <c r="I91" i="1"/>
  <c r="L91" i="1" s="1"/>
  <c r="O91" i="1" s="1"/>
  <c r="E92" i="1" s="1"/>
  <c r="F92" i="1" l="1"/>
  <c r="G92" i="1" s="1"/>
  <c r="J92" i="1" s="1"/>
  <c r="M92" i="1" s="1"/>
  <c r="C93" i="1" s="1"/>
  <c r="H92" i="1" l="1"/>
  <c r="K92" i="1" s="1"/>
  <c r="N92" i="1" s="1"/>
  <c r="D93" i="1" s="1"/>
  <c r="I92" i="1"/>
  <c r="L92" i="1" s="1"/>
  <c r="O92" i="1" s="1"/>
  <c r="E93" i="1" s="1"/>
  <c r="F93" i="1" l="1"/>
  <c r="G93" i="1" s="1"/>
  <c r="J93" i="1" s="1"/>
  <c r="M93" i="1" s="1"/>
  <c r="C94" i="1" s="1"/>
  <c r="H93" i="1" l="1"/>
  <c r="K93" i="1" s="1"/>
  <c r="N93" i="1" s="1"/>
  <c r="D94" i="1" s="1"/>
  <c r="I93" i="1"/>
  <c r="L93" i="1" s="1"/>
  <c r="O93" i="1" s="1"/>
  <c r="E94" i="1" s="1"/>
  <c r="F94" i="1" l="1"/>
  <c r="G94" i="1" s="1"/>
  <c r="J94" i="1" s="1"/>
  <c r="M94" i="1" s="1"/>
  <c r="C95" i="1" s="1"/>
  <c r="H94" i="1" l="1"/>
  <c r="K94" i="1" s="1"/>
  <c r="N94" i="1" s="1"/>
  <c r="D95" i="1" s="1"/>
  <c r="I94" i="1"/>
  <c r="L94" i="1" s="1"/>
  <c r="O94" i="1" s="1"/>
  <c r="E95" i="1" s="1"/>
  <c r="F95" i="1" l="1"/>
  <c r="G95" i="1" s="1"/>
  <c r="J95" i="1" s="1"/>
  <c r="M95" i="1" s="1"/>
  <c r="C96" i="1" s="1"/>
  <c r="H95" i="1" l="1"/>
  <c r="K95" i="1" s="1"/>
  <c r="N95" i="1" s="1"/>
  <c r="D96" i="1" s="1"/>
  <c r="I95" i="1"/>
  <c r="L95" i="1" s="1"/>
  <c r="O95" i="1" s="1"/>
  <c r="E96" i="1" s="1"/>
  <c r="F96" i="1" l="1"/>
  <c r="G96" i="1" s="1"/>
  <c r="J96" i="1" s="1"/>
  <c r="M96" i="1" s="1"/>
  <c r="C97" i="1" s="1"/>
  <c r="I96" i="1" l="1"/>
  <c r="L96" i="1" s="1"/>
  <c r="O96" i="1" s="1"/>
  <c r="E97" i="1" s="1"/>
  <c r="H96" i="1"/>
  <c r="K96" i="1" s="1"/>
  <c r="N96" i="1" s="1"/>
  <c r="D97" i="1" s="1"/>
  <c r="F97" i="1" l="1"/>
  <c r="G97" i="1" s="1"/>
  <c r="J97" i="1" s="1"/>
  <c r="M97" i="1" s="1"/>
  <c r="C98" i="1" s="1"/>
  <c r="I97" i="1" l="1"/>
  <c r="L97" i="1" s="1"/>
  <c r="O97" i="1" s="1"/>
  <c r="E98" i="1" s="1"/>
  <c r="H97" i="1"/>
  <c r="K97" i="1" s="1"/>
  <c r="N97" i="1" s="1"/>
  <c r="D98" i="1" s="1"/>
  <c r="F98" i="1" l="1"/>
  <c r="G98" i="1" s="1"/>
  <c r="J98" i="1" s="1"/>
  <c r="M98" i="1" s="1"/>
  <c r="C99" i="1" s="1"/>
  <c r="I98" i="1" l="1"/>
  <c r="L98" i="1" s="1"/>
  <c r="O98" i="1" s="1"/>
  <c r="E99" i="1" s="1"/>
  <c r="H98" i="1"/>
  <c r="K98" i="1" s="1"/>
  <c r="N98" i="1" s="1"/>
  <c r="D99" i="1" s="1"/>
  <c r="F99" i="1" l="1"/>
  <c r="G99" i="1" s="1"/>
  <c r="J99" i="1" s="1"/>
  <c r="M99" i="1" s="1"/>
  <c r="C100" i="1" s="1"/>
  <c r="I99" i="1" l="1"/>
  <c r="L99" i="1" s="1"/>
  <c r="O99" i="1" s="1"/>
  <c r="E100" i="1" s="1"/>
  <c r="H99" i="1"/>
  <c r="K99" i="1" s="1"/>
  <c r="N99" i="1" s="1"/>
  <c r="D100" i="1" s="1"/>
  <c r="F100" i="1" l="1"/>
  <c r="G100" i="1" s="1"/>
  <c r="J100" i="1" s="1"/>
  <c r="M100" i="1" s="1"/>
  <c r="C101" i="1" s="1"/>
  <c r="I100" i="1" l="1"/>
  <c r="L100" i="1" s="1"/>
  <c r="O100" i="1" s="1"/>
  <c r="E101" i="1" s="1"/>
  <c r="H100" i="1"/>
  <c r="K100" i="1" s="1"/>
  <c r="N100" i="1" s="1"/>
  <c r="D101" i="1" s="1"/>
  <c r="F101" i="1" l="1"/>
  <c r="G101" i="1" s="1"/>
  <c r="J101" i="1" s="1"/>
  <c r="M101" i="1" s="1"/>
  <c r="C102" i="1" s="1"/>
  <c r="I101" i="1" l="1"/>
  <c r="L101" i="1" s="1"/>
  <c r="O101" i="1" s="1"/>
  <c r="E102" i="1" s="1"/>
  <c r="H101" i="1"/>
  <c r="K101" i="1" s="1"/>
  <c r="N101" i="1" s="1"/>
  <c r="D102" i="1" s="1"/>
  <c r="F102" i="1" l="1"/>
  <c r="G102" i="1" s="1"/>
  <c r="J102" i="1" s="1"/>
  <c r="M102" i="1" s="1"/>
  <c r="C103" i="1" s="1"/>
  <c r="I102" i="1" l="1"/>
  <c r="L102" i="1" s="1"/>
  <c r="O102" i="1" s="1"/>
  <c r="E103" i="1" s="1"/>
  <c r="H102" i="1"/>
  <c r="K102" i="1" s="1"/>
  <c r="N102" i="1" s="1"/>
  <c r="D103" i="1" s="1"/>
  <c r="F103" i="1" l="1"/>
  <c r="G103" i="1" s="1"/>
  <c r="J103" i="1" s="1"/>
  <c r="M103" i="1" s="1"/>
  <c r="C104" i="1" s="1"/>
  <c r="I103" i="1" l="1"/>
  <c r="L103" i="1" s="1"/>
  <c r="O103" i="1" s="1"/>
  <c r="E104" i="1" s="1"/>
  <c r="H103" i="1"/>
  <c r="K103" i="1" s="1"/>
  <c r="N103" i="1" s="1"/>
  <c r="D104" i="1" s="1"/>
  <c r="F104" i="1" l="1"/>
  <c r="G104" i="1" s="1"/>
  <c r="J104" i="1" s="1"/>
  <c r="M104" i="1" s="1"/>
  <c r="C105" i="1" s="1"/>
  <c r="I104" i="1" l="1"/>
  <c r="L104" i="1" s="1"/>
  <c r="O104" i="1" s="1"/>
  <c r="E105" i="1" s="1"/>
  <c r="H104" i="1"/>
  <c r="K104" i="1" s="1"/>
  <c r="N104" i="1" s="1"/>
  <c r="D105" i="1" s="1"/>
  <c r="F105" i="1" l="1"/>
  <c r="G105" i="1" s="1"/>
  <c r="J105" i="1" s="1"/>
  <c r="M105" i="1" s="1"/>
  <c r="C106" i="1" s="1"/>
  <c r="I105" i="1" l="1"/>
  <c r="L105" i="1" s="1"/>
  <c r="O105" i="1" s="1"/>
  <c r="E106" i="1" s="1"/>
  <c r="H105" i="1"/>
  <c r="K105" i="1" s="1"/>
  <c r="N105" i="1" s="1"/>
  <c r="D106" i="1" s="1"/>
  <c r="F106" i="1" l="1"/>
  <c r="G106" i="1" s="1"/>
  <c r="J106" i="1" s="1"/>
  <c r="M106" i="1" s="1"/>
  <c r="C107" i="1" s="1"/>
  <c r="I106" i="1" l="1"/>
  <c r="L106" i="1" s="1"/>
  <c r="O106" i="1" s="1"/>
  <c r="E107" i="1" s="1"/>
  <c r="H106" i="1"/>
  <c r="K106" i="1" s="1"/>
  <c r="N106" i="1" s="1"/>
  <c r="D107" i="1" s="1"/>
  <c r="F107" i="1" l="1"/>
  <c r="G107" i="1" s="1"/>
  <c r="J107" i="1" s="1"/>
  <c r="M107" i="1" s="1"/>
  <c r="C108" i="1" s="1"/>
  <c r="I107" i="1" l="1"/>
  <c r="L107" i="1" s="1"/>
  <c r="O107" i="1" s="1"/>
  <c r="E108" i="1" s="1"/>
  <c r="H107" i="1"/>
  <c r="K107" i="1" s="1"/>
  <c r="N107" i="1" s="1"/>
  <c r="D108" i="1" s="1"/>
  <c r="F108" i="1" l="1"/>
  <c r="G108" i="1" s="1"/>
  <c r="J108" i="1" s="1"/>
  <c r="M108" i="1" s="1"/>
  <c r="C109" i="1" s="1"/>
  <c r="I108" i="1" l="1"/>
  <c r="L108" i="1" s="1"/>
  <c r="O108" i="1" s="1"/>
  <c r="E109" i="1" s="1"/>
  <c r="H108" i="1"/>
  <c r="K108" i="1" s="1"/>
  <c r="N108" i="1" s="1"/>
  <c r="D109" i="1" s="1"/>
  <c r="F109" i="1" l="1"/>
  <c r="G109" i="1" s="1"/>
  <c r="J109" i="1" s="1"/>
  <c r="M109" i="1" s="1"/>
  <c r="C110" i="1" s="1"/>
  <c r="I109" i="1" l="1"/>
  <c r="L109" i="1" s="1"/>
  <c r="O109" i="1" s="1"/>
  <c r="E110" i="1" s="1"/>
  <c r="H109" i="1"/>
  <c r="K109" i="1" s="1"/>
  <c r="N109" i="1" s="1"/>
  <c r="D110" i="1" s="1"/>
  <c r="F110" i="1" l="1"/>
  <c r="G110" i="1" s="1"/>
  <c r="J110" i="1" s="1"/>
  <c r="M110" i="1" s="1"/>
  <c r="C111" i="1" s="1"/>
  <c r="I110" i="1" l="1"/>
  <c r="L110" i="1" s="1"/>
  <c r="O110" i="1" s="1"/>
  <c r="E111" i="1" s="1"/>
  <c r="H110" i="1"/>
  <c r="K110" i="1" s="1"/>
  <c r="N110" i="1" s="1"/>
  <c r="D111" i="1" s="1"/>
  <c r="F111" i="1" l="1"/>
  <c r="G111" i="1" s="1"/>
  <c r="J111" i="1" s="1"/>
  <c r="M111" i="1" s="1"/>
  <c r="C112" i="1" s="1"/>
  <c r="I111" i="1" l="1"/>
  <c r="L111" i="1" s="1"/>
  <c r="O111" i="1" s="1"/>
  <c r="E112" i="1" s="1"/>
  <c r="H111" i="1"/>
  <c r="K111" i="1" s="1"/>
  <c r="N111" i="1" s="1"/>
  <c r="D112" i="1" s="1"/>
  <c r="F112" i="1" l="1"/>
  <c r="G112" i="1" s="1"/>
  <c r="J112" i="1" s="1"/>
  <c r="M112" i="1" s="1"/>
  <c r="C113" i="1" s="1"/>
  <c r="I112" i="1" l="1"/>
  <c r="L112" i="1" s="1"/>
  <c r="O112" i="1" s="1"/>
  <c r="E113" i="1" s="1"/>
  <c r="H112" i="1"/>
  <c r="K112" i="1" s="1"/>
  <c r="N112" i="1" s="1"/>
  <c r="D113" i="1" s="1"/>
  <c r="F113" i="1" l="1"/>
  <c r="G113" i="1" s="1"/>
  <c r="J113" i="1" s="1"/>
  <c r="M113" i="1" s="1"/>
  <c r="C114" i="1" s="1"/>
  <c r="I113" i="1" l="1"/>
  <c r="L113" i="1" s="1"/>
  <c r="O113" i="1" s="1"/>
  <c r="E114" i="1" s="1"/>
  <c r="H113" i="1"/>
  <c r="K113" i="1" s="1"/>
  <c r="N113" i="1" s="1"/>
  <c r="D114" i="1" s="1"/>
  <c r="F114" i="1" l="1"/>
  <c r="G114" i="1" s="1"/>
  <c r="J114" i="1" s="1"/>
  <c r="M114" i="1" s="1"/>
  <c r="C115" i="1" s="1"/>
  <c r="I114" i="1" l="1"/>
  <c r="L114" i="1" s="1"/>
  <c r="O114" i="1" s="1"/>
  <c r="E115" i="1" s="1"/>
  <c r="H114" i="1"/>
  <c r="K114" i="1" s="1"/>
  <c r="N114" i="1" s="1"/>
  <c r="D115" i="1" s="1"/>
  <c r="F115" i="1" l="1"/>
  <c r="G115" i="1" s="1"/>
  <c r="J115" i="1" s="1"/>
  <c r="M115" i="1" s="1"/>
  <c r="C116" i="1" s="1"/>
  <c r="I115" i="1" l="1"/>
  <c r="L115" i="1" s="1"/>
  <c r="O115" i="1" s="1"/>
  <c r="E116" i="1" s="1"/>
  <c r="H115" i="1"/>
  <c r="K115" i="1" s="1"/>
  <c r="N115" i="1" s="1"/>
  <c r="D116" i="1" s="1"/>
  <c r="F116" i="1" l="1"/>
  <c r="G116" i="1" s="1"/>
  <c r="J116" i="1" s="1"/>
  <c r="M116" i="1" s="1"/>
  <c r="C117" i="1" s="1"/>
  <c r="I116" i="1" l="1"/>
  <c r="L116" i="1" s="1"/>
  <c r="O116" i="1" s="1"/>
  <c r="E117" i="1" s="1"/>
  <c r="H116" i="1"/>
  <c r="K116" i="1" s="1"/>
  <c r="N116" i="1" s="1"/>
  <c r="D117" i="1" s="1"/>
  <c r="F117" i="1" l="1"/>
  <c r="G117" i="1" s="1"/>
  <c r="J117" i="1" s="1"/>
  <c r="M117" i="1" s="1"/>
  <c r="C118" i="1" s="1"/>
  <c r="I117" i="1" l="1"/>
  <c r="L117" i="1" s="1"/>
  <c r="O117" i="1" s="1"/>
  <c r="E118" i="1" s="1"/>
  <c r="H117" i="1"/>
  <c r="K117" i="1" s="1"/>
  <c r="N117" i="1" s="1"/>
  <c r="D118" i="1" s="1"/>
  <c r="F118" i="1" l="1"/>
  <c r="G118" i="1" s="1"/>
  <c r="J118" i="1" s="1"/>
  <c r="M118" i="1" s="1"/>
  <c r="C119" i="1" s="1"/>
  <c r="I118" i="1" l="1"/>
  <c r="L118" i="1" s="1"/>
  <c r="O118" i="1" s="1"/>
  <c r="E119" i="1" s="1"/>
  <c r="H118" i="1"/>
  <c r="K118" i="1" s="1"/>
  <c r="N118" i="1" s="1"/>
  <c r="D119" i="1" s="1"/>
  <c r="F119" i="1" l="1"/>
  <c r="G119" i="1" s="1"/>
  <c r="J119" i="1" s="1"/>
  <c r="M119" i="1" s="1"/>
  <c r="C120" i="1" s="1"/>
  <c r="I119" i="1" l="1"/>
  <c r="L119" i="1" s="1"/>
  <c r="O119" i="1" s="1"/>
  <c r="E120" i="1" s="1"/>
  <c r="H119" i="1"/>
  <c r="K119" i="1" s="1"/>
  <c r="N119" i="1" s="1"/>
  <c r="D120" i="1" s="1"/>
  <c r="F120" i="1" l="1"/>
  <c r="G120" i="1" s="1"/>
  <c r="J120" i="1" s="1"/>
  <c r="M120" i="1" s="1"/>
  <c r="C121" i="1" s="1"/>
  <c r="I120" i="1" l="1"/>
  <c r="L120" i="1" s="1"/>
  <c r="O120" i="1" s="1"/>
  <c r="E121" i="1" s="1"/>
  <c r="H120" i="1"/>
  <c r="K120" i="1" s="1"/>
  <c r="N120" i="1" s="1"/>
  <c r="D121" i="1" s="1"/>
  <c r="F121" i="1" l="1"/>
  <c r="G121" i="1" s="1"/>
  <c r="J121" i="1" s="1"/>
  <c r="M121" i="1" s="1"/>
  <c r="C122" i="1" s="1"/>
  <c r="I121" i="1" l="1"/>
  <c r="L121" i="1" s="1"/>
  <c r="O121" i="1" s="1"/>
  <c r="E122" i="1" s="1"/>
  <c r="H121" i="1"/>
  <c r="K121" i="1" s="1"/>
  <c r="N121" i="1" s="1"/>
  <c r="D122" i="1" s="1"/>
  <c r="F122" i="1" l="1"/>
  <c r="G122" i="1" s="1"/>
  <c r="J122" i="1" s="1"/>
  <c r="M122" i="1" s="1"/>
  <c r="C123" i="1" s="1"/>
  <c r="I122" i="1" l="1"/>
  <c r="L122" i="1" s="1"/>
  <c r="O122" i="1" s="1"/>
  <c r="E123" i="1" s="1"/>
  <c r="H122" i="1"/>
  <c r="K122" i="1" s="1"/>
  <c r="N122" i="1" s="1"/>
  <c r="D123" i="1" s="1"/>
  <c r="F123" i="1" l="1"/>
  <c r="G123" i="1" s="1"/>
  <c r="J123" i="1" s="1"/>
  <c r="M123" i="1" s="1"/>
  <c r="C124" i="1" s="1"/>
  <c r="I123" i="1" l="1"/>
  <c r="L123" i="1" s="1"/>
  <c r="O123" i="1" s="1"/>
  <c r="E124" i="1" s="1"/>
  <c r="H123" i="1"/>
  <c r="K123" i="1" s="1"/>
  <c r="N123" i="1" s="1"/>
  <c r="D124" i="1" s="1"/>
  <c r="F124" i="1" l="1"/>
  <c r="G124" i="1" s="1"/>
  <c r="J124" i="1" s="1"/>
  <c r="M124" i="1" s="1"/>
  <c r="C125" i="1" s="1"/>
  <c r="I124" i="1" l="1"/>
  <c r="L124" i="1" s="1"/>
  <c r="O124" i="1" s="1"/>
  <c r="E125" i="1" s="1"/>
  <c r="H124" i="1"/>
  <c r="K124" i="1" s="1"/>
  <c r="N124" i="1" s="1"/>
  <c r="D125" i="1" s="1"/>
  <c r="F125" i="1" l="1"/>
  <c r="G125" i="1" s="1"/>
  <c r="J125" i="1" s="1"/>
  <c r="M125" i="1" s="1"/>
  <c r="C126" i="1" s="1"/>
  <c r="I125" i="1" l="1"/>
  <c r="L125" i="1" s="1"/>
  <c r="O125" i="1" s="1"/>
  <c r="E126" i="1" s="1"/>
  <c r="H125" i="1"/>
  <c r="K125" i="1" s="1"/>
  <c r="N125" i="1" s="1"/>
  <c r="D126" i="1" s="1"/>
  <c r="F126" i="1" l="1"/>
  <c r="G126" i="1" s="1"/>
  <c r="J126" i="1" s="1"/>
  <c r="M126" i="1" s="1"/>
  <c r="C127" i="1" s="1"/>
  <c r="I126" i="1" l="1"/>
  <c r="L126" i="1" s="1"/>
  <c r="O126" i="1" s="1"/>
  <c r="E127" i="1" s="1"/>
  <c r="H126" i="1"/>
  <c r="K126" i="1" s="1"/>
  <c r="N126" i="1" s="1"/>
  <c r="D127" i="1" s="1"/>
  <c r="F127" i="1" l="1"/>
  <c r="G127" i="1" s="1"/>
  <c r="J127" i="1" s="1"/>
  <c r="M127" i="1" s="1"/>
  <c r="C128" i="1" s="1"/>
  <c r="H127" i="1" l="1"/>
  <c r="K127" i="1" s="1"/>
  <c r="N127" i="1" s="1"/>
  <c r="D128" i="1" s="1"/>
  <c r="I127" i="1"/>
  <c r="L127" i="1" s="1"/>
  <c r="O127" i="1" s="1"/>
  <c r="E128" i="1" s="1"/>
  <c r="F128" i="1" l="1"/>
  <c r="G128" i="1" s="1"/>
  <c r="J128" i="1" s="1"/>
  <c r="M128" i="1" s="1"/>
  <c r="C129" i="1" s="1"/>
  <c r="H128" i="1" l="1"/>
  <c r="K128" i="1" s="1"/>
  <c r="N128" i="1" s="1"/>
  <c r="D129" i="1" s="1"/>
  <c r="I128" i="1"/>
  <c r="L128" i="1" s="1"/>
  <c r="O128" i="1" s="1"/>
  <c r="E129" i="1" s="1"/>
  <c r="F129" i="1" l="1"/>
  <c r="G129" i="1" s="1"/>
  <c r="J129" i="1" s="1"/>
  <c r="M129" i="1" s="1"/>
  <c r="C130" i="1" s="1"/>
  <c r="H129" i="1" l="1"/>
  <c r="K129" i="1" s="1"/>
  <c r="N129" i="1" s="1"/>
  <c r="D130" i="1" s="1"/>
  <c r="I129" i="1"/>
  <c r="L129" i="1" s="1"/>
  <c r="O129" i="1" s="1"/>
  <c r="E130" i="1" s="1"/>
  <c r="F130" i="1" l="1"/>
  <c r="G130" i="1" s="1"/>
  <c r="J130" i="1" s="1"/>
  <c r="M130" i="1" s="1"/>
  <c r="H130" i="1" l="1"/>
  <c r="K130" i="1" s="1"/>
  <c r="N130" i="1" s="1"/>
  <c r="I130" i="1"/>
  <c r="L130" i="1" s="1"/>
  <c r="O130" i="1" s="1"/>
</calcChain>
</file>

<file path=xl/sharedStrings.xml><?xml version="1.0" encoding="utf-8"?>
<sst xmlns="http://schemas.openxmlformats.org/spreadsheetml/2006/main" count="82" uniqueCount="78">
  <si>
    <t>Parameter</t>
  </si>
  <si>
    <t>General Parameters:</t>
  </si>
  <si>
    <t>Symbol</t>
  </si>
  <si>
    <t>Value</t>
  </si>
  <si>
    <t>Units</t>
  </si>
  <si>
    <t>Hydraulic conductivity</t>
  </si>
  <si>
    <t>Hydraulic gradient</t>
  </si>
  <si>
    <t>Width of LNAPL lens</t>
  </si>
  <si>
    <t>Average thickness of LNAPL lens</t>
  </si>
  <si>
    <t>Number of LNAPL constituents</t>
  </si>
  <si>
    <t>Solution scheme time step</t>
  </si>
  <si>
    <t>dt</t>
  </si>
  <si>
    <t>n</t>
  </si>
  <si>
    <t>b</t>
  </si>
  <si>
    <t>w</t>
  </si>
  <si>
    <t>i</t>
  </si>
  <si>
    <t>K</t>
  </si>
  <si>
    <t>m/d</t>
  </si>
  <si>
    <t>m</t>
  </si>
  <si>
    <t>d</t>
  </si>
  <si>
    <t>Constituent</t>
  </si>
  <si>
    <t>MW</t>
  </si>
  <si>
    <t>Solubility</t>
  </si>
  <si>
    <t>(mg/L)</t>
  </si>
  <si>
    <t>Benzene</t>
  </si>
  <si>
    <t>Toluene</t>
  </si>
  <si>
    <t>Calculated Quantities:</t>
  </si>
  <si>
    <t>Specific discharge</t>
  </si>
  <si>
    <t>q</t>
  </si>
  <si>
    <t>Volumetric flow rate through LNAPL</t>
  </si>
  <si>
    <t>m3/d</t>
  </si>
  <si>
    <t>LNAPL lens cross-sectional area</t>
  </si>
  <si>
    <t>A</t>
  </si>
  <si>
    <t>m2</t>
  </si>
  <si>
    <t>Q_gw</t>
  </si>
  <si>
    <t>Time (days)</t>
  </si>
  <si>
    <t>Time (yrs)</t>
  </si>
  <si>
    <t>N_1</t>
  </si>
  <si>
    <t>N_2</t>
  </si>
  <si>
    <t>N_3</t>
  </si>
  <si>
    <t>N_T</t>
  </si>
  <si>
    <t>x_1</t>
  </si>
  <si>
    <t>x_2</t>
  </si>
  <si>
    <t>x_3</t>
  </si>
  <si>
    <t>Se_1</t>
  </si>
  <si>
    <t>Se_2</t>
  </si>
  <si>
    <t>Se_3</t>
  </si>
  <si>
    <t>C_1</t>
  </si>
  <si>
    <t>C_2</t>
  </si>
  <si>
    <t>C_3</t>
  </si>
  <si>
    <t>Total initial molar concentration</t>
  </si>
  <si>
    <r>
      <t>N</t>
    </r>
    <r>
      <rPr>
        <vertAlign val="subscript"/>
        <sz val="11"/>
        <color theme="1"/>
        <rFont val="Calibri"/>
        <family val="2"/>
      </rPr>
      <t>T</t>
    </r>
    <r>
      <rPr>
        <vertAlign val="superscript"/>
        <sz val="11"/>
        <color theme="1"/>
        <rFont val="Calibri"/>
        <family val="2"/>
      </rPr>
      <t>0</t>
    </r>
  </si>
  <si>
    <t>LNAPL Constituent Parameters and Initial Values:</t>
  </si>
  <si>
    <t>LNAPL density</t>
  </si>
  <si>
    <t>den_N</t>
  </si>
  <si>
    <t>g/cm3</t>
  </si>
  <si>
    <t>mmol/L</t>
  </si>
  <si>
    <t>Density</t>
  </si>
  <si>
    <t>(g/cm3)</t>
  </si>
  <si>
    <t>Vol Fract</t>
  </si>
  <si>
    <t>yi</t>
  </si>
  <si>
    <t>Initial</t>
  </si>
  <si>
    <t>mols</t>
  </si>
  <si>
    <t>Release volume</t>
  </si>
  <si>
    <t>m3</t>
  </si>
  <si>
    <t>V_N</t>
  </si>
  <si>
    <t>Vol</t>
  </si>
  <si>
    <t>(m3)</t>
  </si>
  <si>
    <t>Mass Fract</t>
  </si>
  <si>
    <t>xi/den_i</t>
  </si>
  <si>
    <t>Initial Mass</t>
  </si>
  <si>
    <t>(kg)</t>
  </si>
  <si>
    <t>Initial LNAPL mass</t>
  </si>
  <si>
    <t>M_N</t>
  </si>
  <si>
    <t>kg</t>
  </si>
  <si>
    <t>Other LNAPL components</t>
  </si>
  <si>
    <t>Mol Fract</t>
  </si>
  <si>
    <t>g/mol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</si>
</sst>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000"/>
    <numFmt numFmtId="166" formatCode="0.000"/>
  </numFmts>
  <fonts count="5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i/>
      <sz val="11"/>
      <color theme="1"/>
      <name val="Calibri"/>
      <family val="2"/>
    </font>
    <font>
      <vertAlign val="superscript"/>
      <sz val="11"/>
      <color theme="1"/>
      <name val="Calibri"/>
      <family val="2"/>
    </font>
    <font>
      <vertAlign val="subscript"/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DD9C4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2" borderId="2" xfId="0" applyFont="1" applyFill="1" applyBorder="1" applyAlignment="1">
      <alignment horizontal="center"/>
    </xf>
    <xf numFmtId="0" fontId="2" fillId="0" borderId="3" xfId="0" applyFont="1" applyBorder="1"/>
    <xf numFmtId="0" fontId="0" fillId="0" borderId="3" xfId="0" applyBorder="1"/>
    <xf numFmtId="0" fontId="0" fillId="0" borderId="4" xfId="0" applyBorder="1"/>
    <xf numFmtId="0" fontId="2" fillId="0" borderId="4" xfId="0" applyFont="1" applyBorder="1"/>
    <xf numFmtId="0" fontId="0" fillId="0" borderId="0" xfId="0" applyAlignment="1">
      <alignment horizontal="center"/>
    </xf>
    <xf numFmtId="0" fontId="2" fillId="0" borderId="0" xfId="0" applyFont="1" applyBorder="1"/>
    <xf numFmtId="0" fontId="1" fillId="2" borderId="1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166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6" fontId="0" fillId="4" borderId="4" xfId="0" applyNumberFormat="1" applyFill="1" applyBorder="1" applyAlignment="1">
      <alignment horizontal="center"/>
    </xf>
    <xf numFmtId="11" fontId="0" fillId="0" borderId="3" xfId="0" applyNumberFormat="1" applyBorder="1" applyAlignment="1">
      <alignment horizontal="center"/>
    </xf>
    <xf numFmtId="166" fontId="0" fillId="3" borderId="0" xfId="0" applyNumberFormat="1" applyFill="1" applyAlignment="1">
      <alignment horizontal="center"/>
    </xf>
    <xf numFmtId="166" fontId="0" fillId="0" borderId="0" xfId="0" quotePrefix="1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Sheet1!$M$29</c:f>
              <c:strCache>
                <c:ptCount val="1"/>
                <c:pt idx="0">
                  <c:v>C_1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Sheet1!$B$30:$B$130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2.8999999999999995</c:v>
                </c:pt>
                <c:pt idx="30">
                  <c:v>2.9999999999999996</c:v>
                </c:pt>
                <c:pt idx="31">
                  <c:v>3.0999999999999992</c:v>
                </c:pt>
                <c:pt idx="32">
                  <c:v>3.1999999999999988</c:v>
                </c:pt>
                <c:pt idx="33">
                  <c:v>3.2999999999999985</c:v>
                </c:pt>
                <c:pt idx="34">
                  <c:v>3.3999999999999981</c:v>
                </c:pt>
                <c:pt idx="35">
                  <c:v>3.4999999999999978</c:v>
                </c:pt>
                <c:pt idx="36">
                  <c:v>3.5999999999999974</c:v>
                </c:pt>
                <c:pt idx="37">
                  <c:v>3.6999999999999971</c:v>
                </c:pt>
                <c:pt idx="38">
                  <c:v>3.7999999999999967</c:v>
                </c:pt>
                <c:pt idx="39">
                  <c:v>3.8999999999999964</c:v>
                </c:pt>
                <c:pt idx="40">
                  <c:v>3.9999999999999964</c:v>
                </c:pt>
                <c:pt idx="41">
                  <c:v>4.0999999999999961</c:v>
                </c:pt>
                <c:pt idx="42">
                  <c:v>4.1999999999999957</c:v>
                </c:pt>
                <c:pt idx="43">
                  <c:v>4.2999999999999954</c:v>
                </c:pt>
                <c:pt idx="44">
                  <c:v>4.399999999999995</c:v>
                </c:pt>
                <c:pt idx="45">
                  <c:v>4.4999999999999947</c:v>
                </c:pt>
                <c:pt idx="46">
                  <c:v>4.5999999999999943</c:v>
                </c:pt>
                <c:pt idx="47">
                  <c:v>4.699999999999994</c:v>
                </c:pt>
                <c:pt idx="48">
                  <c:v>4.7999999999999936</c:v>
                </c:pt>
                <c:pt idx="49">
                  <c:v>4.8999999999999932</c:v>
                </c:pt>
                <c:pt idx="50">
                  <c:v>4.9999999999999929</c:v>
                </c:pt>
                <c:pt idx="51">
                  <c:v>5.0999999999999925</c:v>
                </c:pt>
                <c:pt idx="52">
                  <c:v>5.1999999999999922</c:v>
                </c:pt>
                <c:pt idx="53">
                  <c:v>5.2999999999999918</c:v>
                </c:pt>
                <c:pt idx="54">
                  <c:v>5.3999999999999915</c:v>
                </c:pt>
                <c:pt idx="55">
                  <c:v>5.499999999999992</c:v>
                </c:pt>
                <c:pt idx="56">
                  <c:v>5.5999999999999917</c:v>
                </c:pt>
                <c:pt idx="57">
                  <c:v>5.6999999999999913</c:v>
                </c:pt>
                <c:pt idx="58">
                  <c:v>5.7999999999999909</c:v>
                </c:pt>
                <c:pt idx="59">
                  <c:v>5.8999999999999906</c:v>
                </c:pt>
                <c:pt idx="60">
                  <c:v>5.9999999999999902</c:v>
                </c:pt>
                <c:pt idx="61">
                  <c:v>6.0999999999999899</c:v>
                </c:pt>
                <c:pt idx="62">
                  <c:v>6.1999999999999895</c:v>
                </c:pt>
                <c:pt idx="63">
                  <c:v>6.2999999999999892</c:v>
                </c:pt>
                <c:pt idx="64">
                  <c:v>6.3999999999999888</c:v>
                </c:pt>
                <c:pt idx="65">
                  <c:v>6.4999999999999885</c:v>
                </c:pt>
                <c:pt idx="66">
                  <c:v>6.5999999999999881</c:v>
                </c:pt>
                <c:pt idx="67">
                  <c:v>6.6999999999999877</c:v>
                </c:pt>
                <c:pt idx="68">
                  <c:v>6.7999999999999874</c:v>
                </c:pt>
                <c:pt idx="69">
                  <c:v>6.899999999999987</c:v>
                </c:pt>
                <c:pt idx="70">
                  <c:v>6.9999999999999867</c:v>
                </c:pt>
                <c:pt idx="71">
                  <c:v>7.0999999999999863</c:v>
                </c:pt>
                <c:pt idx="72">
                  <c:v>7.199999999999986</c:v>
                </c:pt>
                <c:pt idx="73">
                  <c:v>7.2999999999999856</c:v>
                </c:pt>
                <c:pt idx="74">
                  <c:v>7.3999999999999853</c:v>
                </c:pt>
                <c:pt idx="75">
                  <c:v>7.4999999999999858</c:v>
                </c:pt>
                <c:pt idx="76">
                  <c:v>7.5999999999999854</c:v>
                </c:pt>
                <c:pt idx="77">
                  <c:v>7.6999999999999851</c:v>
                </c:pt>
                <c:pt idx="78">
                  <c:v>7.7999999999999847</c:v>
                </c:pt>
                <c:pt idx="79">
                  <c:v>7.8999999999999844</c:v>
                </c:pt>
                <c:pt idx="80">
                  <c:v>7.999999999999984</c:v>
                </c:pt>
                <c:pt idx="81">
                  <c:v>8.0999999999999837</c:v>
                </c:pt>
                <c:pt idx="82">
                  <c:v>8.1999999999999833</c:v>
                </c:pt>
                <c:pt idx="83">
                  <c:v>8.2999999999999829</c:v>
                </c:pt>
                <c:pt idx="84">
                  <c:v>8.3999999999999826</c:v>
                </c:pt>
                <c:pt idx="85">
                  <c:v>8.4999999999999822</c:v>
                </c:pt>
                <c:pt idx="86">
                  <c:v>8.5999999999999819</c:v>
                </c:pt>
                <c:pt idx="87">
                  <c:v>8.6999999999999815</c:v>
                </c:pt>
                <c:pt idx="88">
                  <c:v>8.7999999999999812</c:v>
                </c:pt>
                <c:pt idx="89">
                  <c:v>8.8999999999999808</c:v>
                </c:pt>
                <c:pt idx="90">
                  <c:v>8.9999999999999805</c:v>
                </c:pt>
                <c:pt idx="91">
                  <c:v>9.0999999999999801</c:v>
                </c:pt>
                <c:pt idx="92">
                  <c:v>9.1999999999999797</c:v>
                </c:pt>
                <c:pt idx="93">
                  <c:v>9.2999999999999794</c:v>
                </c:pt>
                <c:pt idx="94">
                  <c:v>9.399999999999979</c:v>
                </c:pt>
                <c:pt idx="95">
                  <c:v>9.4999999999999787</c:v>
                </c:pt>
                <c:pt idx="96">
                  <c:v>9.5999999999999783</c:v>
                </c:pt>
                <c:pt idx="97">
                  <c:v>9.699999999999978</c:v>
                </c:pt>
                <c:pt idx="98">
                  <c:v>9.7999999999999776</c:v>
                </c:pt>
                <c:pt idx="99">
                  <c:v>9.8999999999999773</c:v>
                </c:pt>
                <c:pt idx="100">
                  <c:v>9.9999999999999769</c:v>
                </c:pt>
              </c:numCache>
            </c:numRef>
          </c:xVal>
          <c:yVal>
            <c:numRef>
              <c:f>Sheet1!$M$30:$M$130</c:f>
              <c:numCache>
                <c:formatCode>0.00E+00</c:formatCode>
                <c:ptCount val="101"/>
                <c:pt idx="0">
                  <c:v>123.4559275940032</c:v>
                </c:pt>
                <c:pt idx="1">
                  <c:v>120.95975333404243</c:v>
                </c:pt>
                <c:pt idx="2">
                  <c:v>118.50463196114566</c:v>
                </c:pt>
                <c:pt idx="3">
                  <c:v>116.09021485649939</c:v>
                </c:pt>
                <c:pt idx="4">
                  <c:v>113.71614475540817</c:v>
                </c:pt>
                <c:pt idx="5">
                  <c:v>111.38205620591449</c:v>
                </c:pt>
                <c:pt idx="6">
                  <c:v>109.08757602311638</c:v>
                </c:pt>
                <c:pt idx="7">
                  <c:v>106.83232373863048</c:v>
                </c:pt>
                <c:pt idx="8">
                  <c:v>104.61591204467932</c:v>
                </c:pt>
                <c:pt idx="9">
                  <c:v>102.43794723231186</c:v>
                </c:pt>
                <c:pt idx="10">
                  <c:v>100.29802962329821</c:v>
                </c:pt>
                <c:pt idx="11">
                  <c:v>98.195753995269783</c:v>
                </c:pt>
                <c:pt idx="12">
                  <c:v>96.13070999970671</c:v>
                </c:pt>
                <c:pt idx="13">
                  <c:v>94.102482572405151</c:v>
                </c:pt>
                <c:pt idx="14">
                  <c:v>92.110652336086332</c:v>
                </c:pt>
                <c:pt idx="15">
                  <c:v>90.154795994838992</c:v>
                </c:pt>
                <c:pt idx="16">
                  <c:v>88.234486720115541</c:v>
                </c:pt>
                <c:pt idx="17">
                  <c:v>86.349294528030484</c:v>
                </c:pt>
                <c:pt idx="18">
                  <c:v>84.498786647737489</c:v>
                </c:pt>
                <c:pt idx="19">
                  <c:v>82.682527880687545</c:v>
                </c:pt>
                <c:pt idx="20">
                  <c:v>80.900080950597413</c:v>
                </c:pt>
                <c:pt idx="21">
                  <c:v>79.1510068439826</c:v>
                </c:pt>
                <c:pt idx="22">
                  <c:v>77.434865141132789</c:v>
                </c:pt>
                <c:pt idx="23">
                  <c:v>75.751214337432287</c:v>
                </c:pt>
                <c:pt idx="24">
                  <c:v>74.099612154949398</c:v>
                </c:pt>
                <c:pt idx="25">
                  <c:v>72.479615844240911</c:v>
                </c:pt>
                <c:pt idx="26">
                  <c:v>70.890782476338742</c:v>
                </c:pt>
                <c:pt idx="27">
                  <c:v>69.332669224904393</c:v>
                </c:pt>
                <c:pt idx="28">
                  <c:v>67.804833638557383</c:v>
                </c:pt>
                <c:pt idx="29">
                  <c:v>66.306833903399678</c:v>
                </c:pt>
                <c:pt idx="30">
                  <c:v>64.838229095776484</c:v>
                </c:pt>
                <c:pt idx="31">
                  <c:v>63.398579425328812</c:v>
                </c:pt>
                <c:pt idx="32">
                  <c:v>61.987446468408301</c:v>
                </c:pt>
                <c:pt idx="33">
                  <c:v>60.604393391938899</c:v>
                </c:pt>
                <c:pt idx="34">
                  <c:v>59.248985167822966</c:v>
                </c:pt>
                <c:pt idx="35">
                  <c:v>57.920788778001409</c:v>
                </c:pt>
                <c:pt idx="36">
                  <c:v>56.619373410288759</c:v>
                </c:pt>
                <c:pt idx="37">
                  <c:v>55.344310645114668</c:v>
                </c:pt>
                <c:pt idx="38">
                  <c:v>54.095174633312382</c:v>
                </c:pt>
                <c:pt idx="39">
                  <c:v>52.871542265103898</c:v>
                </c:pt>
                <c:pt idx="40">
                  <c:v>51.672993330439219</c:v>
                </c:pt>
                <c:pt idx="41">
                  <c:v>50.499110670854044</c:v>
                </c:pt>
                <c:pt idx="42">
                  <c:v>49.349480323017147</c:v>
                </c:pt>
                <c:pt idx="43">
                  <c:v>48.223691654143586</c:v>
                </c:pt>
                <c:pt idx="44">
                  <c:v>47.121337489455613</c:v>
                </c:pt>
                <c:pt idx="45">
                  <c:v>46.042014231876955</c:v>
                </c:pt>
                <c:pt idx="46">
                  <c:v>44.985321974149826</c:v>
                </c:pt>
                <c:pt idx="47">
                  <c:v>43.950864603567531</c:v>
                </c:pt>
                <c:pt idx="48">
                  <c:v>42.938249899517331</c:v>
                </c:pt>
                <c:pt idx="49">
                  <c:v>41.947089624030674</c:v>
                </c:pt>
                <c:pt idx="50">
                  <c:v>40.976999605539199</c:v>
                </c:pt>
                <c:pt idx="51">
                  <c:v>40.027599816035732</c:v>
                </c:pt>
                <c:pt idx="52">
                  <c:v>39.098514441840031</c:v>
                </c:pt>
                <c:pt idx="53">
                  <c:v>38.18937194816904</c:v>
                </c:pt>
                <c:pt idx="54">
                  <c:v>37.299805137711161</c:v>
                </c:pt>
                <c:pt idx="55">
                  <c:v>36.429451203403048</c:v>
                </c:pt>
                <c:pt idx="56">
                  <c:v>35.577951775606579</c:v>
                </c:pt>
                <c:pt idx="57">
                  <c:v>34.744952963881978</c:v>
                </c:pt>
                <c:pt idx="58">
                  <c:v>33.930105393551592</c:v>
                </c:pt>
                <c:pt idx="59">
                  <c:v>33.133064237246423</c:v>
                </c:pt>
                <c:pt idx="60">
                  <c:v>32.353489241625702</c:v>
                </c:pt>
                <c:pt idx="61">
                  <c:v>31.591044749456817</c:v>
                </c:pt>
                <c:pt idx="62">
                  <c:v>30.845399717240387</c:v>
                </c:pt>
                <c:pt idx="63">
                  <c:v>30.116227728562528</c:v>
                </c:pt>
                <c:pt idx="64">
                  <c:v>29.403207003352712</c:v>
                </c:pt>
                <c:pt idx="65">
                  <c:v>28.706020403223018</c:v>
                </c:pt>
                <c:pt idx="66">
                  <c:v>28.024355433060588</c:v>
                </c:pt>
                <c:pt idx="67">
                  <c:v>27.357904239042011</c:v>
                </c:pt>
                <c:pt idx="68">
                  <c:v>26.706363603234458</c:v>
                </c:pt>
                <c:pt idx="69">
                  <c:v>26.06943493494478</c:v>
                </c:pt>
                <c:pt idx="70">
                  <c:v>25.446824258973997</c:v>
                </c:pt>
                <c:pt idx="71">
                  <c:v>24.838242200930651</c:v>
                </c:pt>
                <c:pt idx="72">
                  <c:v>24.24340396975273</c:v>
                </c:pt>
                <c:pt idx="73">
                  <c:v>23.662029337583782</c:v>
                </c:pt>
                <c:pt idx="74">
                  <c:v>23.093842617144968</c:v>
                </c:pt>
                <c:pt idx="75">
                  <c:v>22.538572636740746</c:v>
                </c:pt>
                <c:pt idx="76">
                  <c:v>21.995952713031908</c:v>
                </c:pt>
                <c:pt idx="77">
                  <c:v>21.465720621705717</c:v>
                </c:pt>
                <c:pt idx="78">
                  <c:v>20.94761856616886</c:v>
                </c:pt>
                <c:pt idx="79">
                  <c:v>20.441393144385017</c:v>
                </c:pt>
                <c:pt idx="80">
                  <c:v>19.946795313974928</c:v>
                </c:pt>
                <c:pt idx="81">
                  <c:v>19.463580355692766</c:v>
                </c:pt>
                <c:pt idx="82">
                  <c:v>18.9915078353891</c:v>
                </c:pt>
                <c:pt idx="83">
                  <c:v>18.530341564566495</c:v>
                </c:pt>
                <c:pt idx="84">
                  <c:v>18.079849559630379</c:v>
                </c:pt>
                <c:pt idx="85">
                  <c:v>17.639803999933907</c:v>
                </c:pt>
                <c:pt idx="86">
                  <c:v>17.209981184711861</c:v>
                </c:pt>
                <c:pt idx="87">
                  <c:v>16.790161488995217</c:v>
                </c:pt>
                <c:pt idx="88">
                  <c:v>16.380129318594289</c:v>
                </c:pt>
                <c:pt idx="89">
                  <c:v>15.979673064234998</c:v>
                </c:pt>
                <c:pt idx="90">
                  <c:v>15.588585054929325</c:v>
                </c:pt>
                <c:pt idx="91">
                  <c:v>15.206661510657892</c:v>
                </c:pt>
                <c:pt idx="92">
                  <c:v>14.833702494439057</c:v>
                </c:pt>
                <c:pt idx="93">
                  <c:v>14.469511863856081</c:v>
                </c:pt>
                <c:pt idx="94">
                  <c:v>14.113897222110499</c:v>
                </c:pt>
                <c:pt idx="95">
                  <c:v>13.766669868667094</c:v>
                </c:pt>
                <c:pt idx="96">
                  <c:v>13.427644749552762</c:v>
                </c:pt>
                <c:pt idx="97">
                  <c:v>13.096640407368731</c:v>
                </c:pt>
                <c:pt idx="98">
                  <c:v>12.773478931072871</c:v>
                </c:pt>
                <c:pt idx="99">
                  <c:v>12.457985905586076</c:v>
                </c:pt>
                <c:pt idx="100">
                  <c:v>12.149990361274078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41-4E5E-A0D9-503B866743C0}"/>
            </c:ext>
          </c:extLst>
        </c:ser>
        <c:ser>
          <c:idx val="1"/>
          <c:order val="1"/>
          <c:tx>
            <c:strRef>
              <c:f>Sheet1!$N$29</c:f>
              <c:strCache>
                <c:ptCount val="1"/>
                <c:pt idx="0">
                  <c:v>C_2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Sheet1!$B$30:$B$130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2.8999999999999995</c:v>
                </c:pt>
                <c:pt idx="30">
                  <c:v>2.9999999999999996</c:v>
                </c:pt>
                <c:pt idx="31">
                  <c:v>3.0999999999999992</c:v>
                </c:pt>
                <c:pt idx="32">
                  <c:v>3.1999999999999988</c:v>
                </c:pt>
                <c:pt idx="33">
                  <c:v>3.2999999999999985</c:v>
                </c:pt>
                <c:pt idx="34">
                  <c:v>3.3999999999999981</c:v>
                </c:pt>
                <c:pt idx="35">
                  <c:v>3.4999999999999978</c:v>
                </c:pt>
                <c:pt idx="36">
                  <c:v>3.5999999999999974</c:v>
                </c:pt>
                <c:pt idx="37">
                  <c:v>3.6999999999999971</c:v>
                </c:pt>
                <c:pt idx="38">
                  <c:v>3.7999999999999967</c:v>
                </c:pt>
                <c:pt idx="39">
                  <c:v>3.8999999999999964</c:v>
                </c:pt>
                <c:pt idx="40">
                  <c:v>3.9999999999999964</c:v>
                </c:pt>
                <c:pt idx="41">
                  <c:v>4.0999999999999961</c:v>
                </c:pt>
                <c:pt idx="42">
                  <c:v>4.1999999999999957</c:v>
                </c:pt>
                <c:pt idx="43">
                  <c:v>4.2999999999999954</c:v>
                </c:pt>
                <c:pt idx="44">
                  <c:v>4.399999999999995</c:v>
                </c:pt>
                <c:pt idx="45">
                  <c:v>4.4999999999999947</c:v>
                </c:pt>
                <c:pt idx="46">
                  <c:v>4.5999999999999943</c:v>
                </c:pt>
                <c:pt idx="47">
                  <c:v>4.699999999999994</c:v>
                </c:pt>
                <c:pt idx="48">
                  <c:v>4.7999999999999936</c:v>
                </c:pt>
                <c:pt idx="49">
                  <c:v>4.8999999999999932</c:v>
                </c:pt>
                <c:pt idx="50">
                  <c:v>4.9999999999999929</c:v>
                </c:pt>
                <c:pt idx="51">
                  <c:v>5.0999999999999925</c:v>
                </c:pt>
                <c:pt idx="52">
                  <c:v>5.1999999999999922</c:v>
                </c:pt>
                <c:pt idx="53">
                  <c:v>5.2999999999999918</c:v>
                </c:pt>
                <c:pt idx="54">
                  <c:v>5.3999999999999915</c:v>
                </c:pt>
                <c:pt idx="55">
                  <c:v>5.499999999999992</c:v>
                </c:pt>
                <c:pt idx="56">
                  <c:v>5.5999999999999917</c:v>
                </c:pt>
                <c:pt idx="57">
                  <c:v>5.6999999999999913</c:v>
                </c:pt>
                <c:pt idx="58">
                  <c:v>5.7999999999999909</c:v>
                </c:pt>
                <c:pt idx="59">
                  <c:v>5.8999999999999906</c:v>
                </c:pt>
                <c:pt idx="60">
                  <c:v>5.9999999999999902</c:v>
                </c:pt>
                <c:pt idx="61">
                  <c:v>6.0999999999999899</c:v>
                </c:pt>
                <c:pt idx="62">
                  <c:v>6.1999999999999895</c:v>
                </c:pt>
                <c:pt idx="63">
                  <c:v>6.2999999999999892</c:v>
                </c:pt>
                <c:pt idx="64">
                  <c:v>6.3999999999999888</c:v>
                </c:pt>
                <c:pt idx="65">
                  <c:v>6.4999999999999885</c:v>
                </c:pt>
                <c:pt idx="66">
                  <c:v>6.5999999999999881</c:v>
                </c:pt>
                <c:pt idx="67">
                  <c:v>6.6999999999999877</c:v>
                </c:pt>
                <c:pt idx="68">
                  <c:v>6.7999999999999874</c:v>
                </c:pt>
                <c:pt idx="69">
                  <c:v>6.899999999999987</c:v>
                </c:pt>
                <c:pt idx="70">
                  <c:v>6.9999999999999867</c:v>
                </c:pt>
                <c:pt idx="71">
                  <c:v>7.0999999999999863</c:v>
                </c:pt>
                <c:pt idx="72">
                  <c:v>7.199999999999986</c:v>
                </c:pt>
                <c:pt idx="73">
                  <c:v>7.2999999999999856</c:v>
                </c:pt>
                <c:pt idx="74">
                  <c:v>7.3999999999999853</c:v>
                </c:pt>
                <c:pt idx="75">
                  <c:v>7.4999999999999858</c:v>
                </c:pt>
                <c:pt idx="76">
                  <c:v>7.5999999999999854</c:v>
                </c:pt>
                <c:pt idx="77">
                  <c:v>7.6999999999999851</c:v>
                </c:pt>
                <c:pt idx="78">
                  <c:v>7.7999999999999847</c:v>
                </c:pt>
                <c:pt idx="79">
                  <c:v>7.8999999999999844</c:v>
                </c:pt>
                <c:pt idx="80">
                  <c:v>7.999999999999984</c:v>
                </c:pt>
                <c:pt idx="81">
                  <c:v>8.0999999999999837</c:v>
                </c:pt>
                <c:pt idx="82">
                  <c:v>8.1999999999999833</c:v>
                </c:pt>
                <c:pt idx="83">
                  <c:v>8.2999999999999829</c:v>
                </c:pt>
                <c:pt idx="84">
                  <c:v>8.3999999999999826</c:v>
                </c:pt>
                <c:pt idx="85">
                  <c:v>8.4999999999999822</c:v>
                </c:pt>
                <c:pt idx="86">
                  <c:v>8.5999999999999819</c:v>
                </c:pt>
                <c:pt idx="87">
                  <c:v>8.6999999999999815</c:v>
                </c:pt>
                <c:pt idx="88">
                  <c:v>8.7999999999999812</c:v>
                </c:pt>
                <c:pt idx="89">
                  <c:v>8.8999999999999808</c:v>
                </c:pt>
                <c:pt idx="90">
                  <c:v>8.9999999999999805</c:v>
                </c:pt>
                <c:pt idx="91">
                  <c:v>9.0999999999999801</c:v>
                </c:pt>
                <c:pt idx="92">
                  <c:v>9.1999999999999797</c:v>
                </c:pt>
                <c:pt idx="93">
                  <c:v>9.2999999999999794</c:v>
                </c:pt>
                <c:pt idx="94">
                  <c:v>9.399999999999979</c:v>
                </c:pt>
                <c:pt idx="95">
                  <c:v>9.4999999999999787</c:v>
                </c:pt>
                <c:pt idx="96">
                  <c:v>9.5999999999999783</c:v>
                </c:pt>
                <c:pt idx="97">
                  <c:v>9.699999999999978</c:v>
                </c:pt>
                <c:pt idx="98">
                  <c:v>9.7999999999999776</c:v>
                </c:pt>
                <c:pt idx="99">
                  <c:v>9.8999999999999773</c:v>
                </c:pt>
                <c:pt idx="100">
                  <c:v>9.9999999999999769</c:v>
                </c:pt>
              </c:numCache>
            </c:numRef>
          </c:xVal>
          <c:yVal>
            <c:numRef>
              <c:f>Sheet1!$N$30:$N$130</c:f>
              <c:numCache>
                <c:formatCode>0.00E+00</c:formatCode>
                <c:ptCount val="101"/>
                <c:pt idx="0">
                  <c:v>53.327155232381372</c:v>
                </c:pt>
                <c:pt idx="1">
                  <c:v>53.141722707030297</c:v>
                </c:pt>
                <c:pt idx="2">
                  <c:v>52.954747634780837</c:v>
                </c:pt>
                <c:pt idx="3">
                  <c:v>52.766274128390492</c:v>
                </c:pt>
                <c:pt idx="4">
                  <c:v>52.576346143976046</c:v>
                </c:pt>
                <c:pt idx="5">
                  <c:v>52.385007456177519</c:v>
                </c:pt>
                <c:pt idx="6">
                  <c:v>52.192301634180083</c:v>
                </c:pt>
                <c:pt idx="7">
                  <c:v>51.998272018601646</c:v>
                </c:pt>
                <c:pt idx="8">
                  <c:v>51.802961699252371</c:v>
                </c:pt>
                <c:pt idx="9">
                  <c:v>51.606413493769807</c:v>
                </c:pt>
                <c:pt idx="10">
                  <c:v>51.408669927132067</c:v>
                </c:pt>
                <c:pt idx="11">
                  <c:v>51.209773212048972</c:v>
                </c:pt>
                <c:pt idx="12">
                  <c:v>51.009765230229753</c:v>
                </c:pt>
                <c:pt idx="13">
                  <c:v>50.80868751452423</c:v>
                </c:pt>
                <c:pt idx="14">
                  <c:v>50.606581231932537</c:v>
                </c:pt>
                <c:pt idx="15">
                  <c:v>50.403487167477145</c:v>
                </c:pt>
                <c:pt idx="16">
                  <c:v>50.199445708929481</c:v>
                </c:pt>
                <c:pt idx="17">
                  <c:v>49.994496832382097</c:v>
                </c:pt>
                <c:pt idx="18">
                  <c:v>49.788680088656072</c:v>
                </c:pt>
                <c:pt idx="19">
                  <c:v>49.582034590532189</c:v>
                </c:pt>
                <c:pt idx="20">
                  <c:v>49.374599000793268</c:v>
                </c:pt>
                <c:pt idx="21">
                  <c:v>49.166411521064241</c:v>
                </c:pt>
                <c:pt idx="22">
                  <c:v>48.957509881435314</c:v>
                </c:pt>
                <c:pt idx="23">
                  <c:v>48.747931330852992</c:v>
                </c:pt>
                <c:pt idx="24">
                  <c:v>48.537712628262952</c:v>
                </c:pt>
                <c:pt idx="25">
                  <c:v>48.326890034487839</c:v>
                </c:pt>
                <c:pt idx="26">
                  <c:v>48.11549930482272</c:v>
                </c:pt>
                <c:pt idx="27">
                  <c:v>47.903575682330242</c:v>
                </c:pt>
                <c:pt idx="28">
                  <c:v>47.691153891817159</c:v>
                </c:pt>
                <c:pt idx="29">
                  <c:v>47.478268134473339</c:v>
                </c:pt>
                <c:pt idx="30">
                  <c:v>47.264952083154178</c:v>
                </c:pt>
                <c:pt idx="31">
                  <c:v>47.051238878287094</c:v>
                </c:pt>
                <c:pt idx="32">
                  <c:v>46.837161124382341</c:v>
                </c:pt>
                <c:pt idx="33">
                  <c:v>46.622750887128397</c:v>
                </c:pt>
                <c:pt idx="34">
                  <c:v>46.408039691052124</c:v>
                </c:pt>
                <c:pt idx="35">
                  <c:v>46.193058517723699</c:v>
                </c:pt>
                <c:pt idx="36">
                  <c:v>45.977837804486299</c:v>
                </c:pt>
                <c:pt idx="37">
                  <c:v>45.762407443690748</c:v>
                </c:pt>
                <c:pt idx="38">
                  <c:v>45.54679678241515</c:v>
                </c:pt>
                <c:pt idx="39">
                  <c:v>45.331034622649945</c:v>
                </c:pt>
                <c:pt idx="40">
                  <c:v>45.115149221928704</c:v>
                </c:pt>
                <c:pt idx="41">
                  <c:v>44.899168294385319</c:v>
                </c:pt>
                <c:pt idx="42">
                  <c:v>44.683119012218469</c:v>
                </c:pt>
                <c:pt idx="43">
                  <c:v>44.467028007544485</c:v>
                </c:pt>
                <c:pt idx="44">
                  <c:v>44.250921374619914</c:v>
                </c:pt>
                <c:pt idx="45">
                  <c:v>44.03482467241551</c:v>
                </c:pt>
                <c:pt idx="46">
                  <c:v>43.818762927523736</c:v>
                </c:pt>
                <c:pt idx="47">
                  <c:v>43.602760637382019</c:v>
                </c:pt>
                <c:pt idx="48">
                  <c:v>43.38684177379448</c:v>
                </c:pt>
                <c:pt idx="49">
                  <c:v>43.171029786735389</c:v>
                </c:pt>
                <c:pt idx="50">
                  <c:v>42.955347608417625</c:v>
                </c:pt>
                <c:pt idx="51">
                  <c:v>42.739817657610232</c:v>
                </c:pt>
                <c:pt idx="52">
                  <c:v>42.52446184418919</c:v>
                </c:pt>
                <c:pt idx="53">
                  <c:v>42.309301573906296</c:v>
                </c:pt>
                <c:pt idx="54">
                  <c:v>42.09435775336128</c:v>
                </c:pt>
                <c:pt idx="55">
                  <c:v>41.879650795162618</c:v>
                </c:pt>
                <c:pt idx="56">
                  <c:v>41.665200623263345</c:v>
                </c:pt>
                <c:pt idx="57">
                  <c:v>41.451026678458078</c:v>
                </c:pt>
                <c:pt idx="58">
                  <c:v>41.237147924028292</c:v>
                </c:pt>
                <c:pt idx="59">
                  <c:v>41.023582851523301</c:v>
                </c:pt>
                <c:pt idx="60">
                  <c:v>40.810349486664585</c:v>
                </c:pt>
                <c:pt idx="61">
                  <c:v>40.59746539536178</c:v>
                </c:pt>
                <c:pt idx="62">
                  <c:v>40.384947689829069</c:v>
                </c:pt>
                <c:pt idx="63">
                  <c:v>40.172813034791091</c:v>
                </c:pt>
                <c:pt idx="64">
                  <c:v>39.961077653767717</c:v>
                </c:pt>
                <c:pt idx="65">
                  <c:v>39.749757335428008</c:v>
                </c:pt>
                <c:pt idx="66">
                  <c:v>39.538867440003479</c:v>
                </c:pt>
                <c:pt idx="67">
                  <c:v>39.328422905751516</c:v>
                </c:pt>
                <c:pt idx="68">
                  <c:v>39.118438255460291</c:v>
                </c:pt>
                <c:pt idx="69">
                  <c:v>38.908927602986601</c:v>
                </c:pt>
                <c:pt idx="70">
                  <c:v>38.699904659818721</c:v>
                </c:pt>
                <c:pt idx="71">
                  <c:v>38.491382741656615</c:v>
                </c:pt>
                <c:pt idx="72">
                  <c:v>38.283374775002343</c:v>
                </c:pt>
                <c:pt idx="73">
                  <c:v>38.075893303753539</c:v>
                </c:pt>
                <c:pt idx="74">
                  <c:v>37.86895049579369</c:v>
                </c:pt>
                <c:pt idx="75">
                  <c:v>37.662558149572845</c:v>
                </c:pt>
                <c:pt idx="76">
                  <c:v>37.456727700673007</c:v>
                </c:pt>
                <c:pt idx="77">
                  <c:v>37.251470228352545</c:v>
                </c:pt>
                <c:pt idx="78">
                  <c:v>37.046796462064542</c:v>
                </c:pt>
                <c:pt idx="79">
                  <c:v>36.84271678794412</c:v>
                </c:pt>
                <c:pt idx="80">
                  <c:v>36.639241255260096</c:v>
                </c:pt>
                <c:pt idx="81">
                  <c:v>36.436379582826632</c:v>
                </c:pt>
                <c:pt idx="82">
                  <c:v>36.234141165370936</c:v>
                </c:pt>
                <c:pt idx="83">
                  <c:v>36.032535079853147</c:v>
                </c:pt>
                <c:pt idx="84">
                  <c:v>35.831570091734811</c:v>
                </c:pt>
                <c:pt idx="85">
                  <c:v>35.631254661192848</c:v>
                </c:pt>
                <c:pt idx="86">
                  <c:v>35.431596949275828</c:v>
                </c:pt>
                <c:pt idx="87">
                  <c:v>35.232604823999807</c:v>
                </c:pt>
                <c:pt idx="88">
                  <c:v>35.034285866381147</c:v>
                </c:pt>
                <c:pt idx="89">
                  <c:v>34.836647376403867</c:v>
                </c:pt>
                <c:pt idx="90">
                  <c:v>34.639696378919481</c:v>
                </c:pt>
                <c:pt idx="91">
                  <c:v>34.443439629477261</c:v>
                </c:pt>
                <c:pt idx="92">
                  <c:v>34.247883620083101</c:v>
                </c:pt>
                <c:pt idx="93">
                  <c:v>34.053034584885538</c:v>
                </c:pt>
                <c:pt idx="94">
                  <c:v>33.858898505787181</c:v>
                </c:pt>
                <c:pt idx="95">
                  <c:v>33.665481117980661</c:v>
                </c:pt>
                <c:pt idx="96">
                  <c:v>33.472787915407658</c:v>
                </c:pt>
                <c:pt idx="97">
                  <c:v>33.280824156140113</c:v>
                </c:pt>
                <c:pt idx="98">
                  <c:v>33.089594867682926</c:v>
                </c:pt>
                <c:pt idx="99">
                  <c:v>32.899104852197212</c:v>
                </c:pt>
                <c:pt idx="100">
                  <c:v>32.709358691643679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41-4E5E-A0D9-503B866743C0}"/>
            </c:ext>
          </c:extLst>
        </c:ser>
        <c:ser>
          <c:idx val="2"/>
          <c:order val="2"/>
          <c:tx>
            <c:strRef>
              <c:f>Sheet1!$O$29</c:f>
              <c:strCache>
                <c:ptCount val="1"/>
                <c:pt idx="0">
                  <c:v>C_3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Sheet1!$B$30:$B$130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2.8999999999999995</c:v>
                </c:pt>
                <c:pt idx="30">
                  <c:v>2.9999999999999996</c:v>
                </c:pt>
                <c:pt idx="31">
                  <c:v>3.0999999999999992</c:v>
                </c:pt>
                <c:pt idx="32">
                  <c:v>3.1999999999999988</c:v>
                </c:pt>
                <c:pt idx="33">
                  <c:v>3.2999999999999985</c:v>
                </c:pt>
                <c:pt idx="34">
                  <c:v>3.3999999999999981</c:v>
                </c:pt>
                <c:pt idx="35">
                  <c:v>3.4999999999999978</c:v>
                </c:pt>
                <c:pt idx="36">
                  <c:v>3.5999999999999974</c:v>
                </c:pt>
                <c:pt idx="37">
                  <c:v>3.6999999999999971</c:v>
                </c:pt>
                <c:pt idx="38">
                  <c:v>3.7999999999999967</c:v>
                </c:pt>
                <c:pt idx="39">
                  <c:v>3.8999999999999964</c:v>
                </c:pt>
                <c:pt idx="40">
                  <c:v>3.9999999999999964</c:v>
                </c:pt>
                <c:pt idx="41">
                  <c:v>4.0999999999999961</c:v>
                </c:pt>
                <c:pt idx="42">
                  <c:v>4.1999999999999957</c:v>
                </c:pt>
                <c:pt idx="43">
                  <c:v>4.2999999999999954</c:v>
                </c:pt>
                <c:pt idx="44">
                  <c:v>4.399999999999995</c:v>
                </c:pt>
                <c:pt idx="45">
                  <c:v>4.4999999999999947</c:v>
                </c:pt>
                <c:pt idx="46">
                  <c:v>4.5999999999999943</c:v>
                </c:pt>
                <c:pt idx="47">
                  <c:v>4.699999999999994</c:v>
                </c:pt>
                <c:pt idx="48">
                  <c:v>4.7999999999999936</c:v>
                </c:pt>
                <c:pt idx="49">
                  <c:v>4.8999999999999932</c:v>
                </c:pt>
                <c:pt idx="50">
                  <c:v>4.9999999999999929</c:v>
                </c:pt>
                <c:pt idx="51">
                  <c:v>5.0999999999999925</c:v>
                </c:pt>
                <c:pt idx="52">
                  <c:v>5.1999999999999922</c:v>
                </c:pt>
                <c:pt idx="53">
                  <c:v>5.2999999999999918</c:v>
                </c:pt>
                <c:pt idx="54">
                  <c:v>5.3999999999999915</c:v>
                </c:pt>
                <c:pt idx="55">
                  <c:v>5.499999999999992</c:v>
                </c:pt>
                <c:pt idx="56">
                  <c:v>5.5999999999999917</c:v>
                </c:pt>
                <c:pt idx="57">
                  <c:v>5.6999999999999913</c:v>
                </c:pt>
                <c:pt idx="58">
                  <c:v>5.7999999999999909</c:v>
                </c:pt>
                <c:pt idx="59">
                  <c:v>5.8999999999999906</c:v>
                </c:pt>
                <c:pt idx="60">
                  <c:v>5.9999999999999902</c:v>
                </c:pt>
                <c:pt idx="61">
                  <c:v>6.0999999999999899</c:v>
                </c:pt>
                <c:pt idx="62">
                  <c:v>6.1999999999999895</c:v>
                </c:pt>
                <c:pt idx="63">
                  <c:v>6.2999999999999892</c:v>
                </c:pt>
                <c:pt idx="64">
                  <c:v>6.3999999999999888</c:v>
                </c:pt>
                <c:pt idx="65">
                  <c:v>6.4999999999999885</c:v>
                </c:pt>
                <c:pt idx="66">
                  <c:v>6.5999999999999881</c:v>
                </c:pt>
                <c:pt idx="67">
                  <c:v>6.6999999999999877</c:v>
                </c:pt>
                <c:pt idx="68">
                  <c:v>6.7999999999999874</c:v>
                </c:pt>
                <c:pt idx="69">
                  <c:v>6.899999999999987</c:v>
                </c:pt>
                <c:pt idx="70">
                  <c:v>6.9999999999999867</c:v>
                </c:pt>
                <c:pt idx="71">
                  <c:v>7.0999999999999863</c:v>
                </c:pt>
                <c:pt idx="72">
                  <c:v>7.199999999999986</c:v>
                </c:pt>
                <c:pt idx="73">
                  <c:v>7.2999999999999856</c:v>
                </c:pt>
                <c:pt idx="74">
                  <c:v>7.3999999999999853</c:v>
                </c:pt>
                <c:pt idx="75">
                  <c:v>7.4999999999999858</c:v>
                </c:pt>
                <c:pt idx="76">
                  <c:v>7.5999999999999854</c:v>
                </c:pt>
                <c:pt idx="77">
                  <c:v>7.6999999999999851</c:v>
                </c:pt>
                <c:pt idx="78">
                  <c:v>7.7999999999999847</c:v>
                </c:pt>
                <c:pt idx="79">
                  <c:v>7.8999999999999844</c:v>
                </c:pt>
                <c:pt idx="80">
                  <c:v>7.999999999999984</c:v>
                </c:pt>
                <c:pt idx="81">
                  <c:v>8.0999999999999837</c:v>
                </c:pt>
                <c:pt idx="82">
                  <c:v>8.1999999999999833</c:v>
                </c:pt>
                <c:pt idx="83">
                  <c:v>8.2999999999999829</c:v>
                </c:pt>
                <c:pt idx="84">
                  <c:v>8.3999999999999826</c:v>
                </c:pt>
                <c:pt idx="85">
                  <c:v>8.4999999999999822</c:v>
                </c:pt>
                <c:pt idx="86">
                  <c:v>8.5999999999999819</c:v>
                </c:pt>
                <c:pt idx="87">
                  <c:v>8.6999999999999815</c:v>
                </c:pt>
                <c:pt idx="88">
                  <c:v>8.7999999999999812</c:v>
                </c:pt>
                <c:pt idx="89">
                  <c:v>8.8999999999999808</c:v>
                </c:pt>
                <c:pt idx="90">
                  <c:v>8.9999999999999805</c:v>
                </c:pt>
                <c:pt idx="91">
                  <c:v>9.0999999999999801</c:v>
                </c:pt>
                <c:pt idx="92">
                  <c:v>9.1999999999999797</c:v>
                </c:pt>
                <c:pt idx="93">
                  <c:v>9.2999999999999794</c:v>
                </c:pt>
                <c:pt idx="94">
                  <c:v>9.399999999999979</c:v>
                </c:pt>
                <c:pt idx="95">
                  <c:v>9.4999999999999787</c:v>
                </c:pt>
                <c:pt idx="96">
                  <c:v>9.5999999999999783</c:v>
                </c:pt>
                <c:pt idx="97">
                  <c:v>9.699999999999978</c:v>
                </c:pt>
                <c:pt idx="98">
                  <c:v>9.7999999999999776</c:v>
                </c:pt>
                <c:pt idx="99">
                  <c:v>9.8999999999999773</c:v>
                </c:pt>
                <c:pt idx="100">
                  <c:v>9.9999999999999769</c:v>
                </c:pt>
              </c:numCache>
            </c:numRef>
          </c:xVal>
          <c:yVal>
            <c:numRef>
              <c:f>Sheet1!$O$30:$O$130</c:f>
              <c:numCache>
                <c:formatCode>0.00E+00</c:formatCode>
                <c:ptCount val="101"/>
                <c:pt idx="0">
                  <c:v>8.296336143416088</c:v>
                </c:pt>
                <c:pt idx="1">
                  <c:v>8.3139375497443115</c:v>
                </c:pt>
                <c:pt idx="2">
                  <c:v>8.3313361235159444</c:v>
                </c:pt>
                <c:pt idx="3">
                  <c:v>8.3485330020126227</c:v>
                </c:pt>
                <c:pt idx="4">
                  <c:v>8.3655293743182604</c:v>
                </c:pt>
                <c:pt idx="5">
                  <c:v>8.3823264791965784</c:v>
                </c:pt>
                <c:pt idx="6">
                  <c:v>8.3989256029767567</c:v>
                </c:pt>
                <c:pt idx="7">
                  <c:v>8.4153280774501766</c:v>
                </c:pt>
                <c:pt idx="8">
                  <c:v>8.4315352777810819</c:v>
                </c:pt>
                <c:pt idx="9">
                  <c:v>8.4475486204338797</c:v>
                </c:pt>
                <c:pt idx="10">
                  <c:v>8.4633695611195829</c:v>
                </c:pt>
                <c:pt idx="11">
                  <c:v>8.4789995927638877</c:v>
                </c:pt>
                <c:pt idx="12">
                  <c:v>8.4944402434990813</c:v>
                </c:pt>
                <c:pt idx="13">
                  <c:v>8.509693074681989</c:v>
                </c:pt>
                <c:pt idx="14">
                  <c:v>8.5247596789399172</c:v>
                </c:pt>
                <c:pt idx="15">
                  <c:v>8.539641678246463</c:v>
                </c:pt>
                <c:pt idx="16">
                  <c:v>8.5543407220289271</c:v>
                </c:pt>
                <c:pt idx="17">
                  <c:v>8.5688584853088976</c:v>
                </c:pt>
                <c:pt idx="18">
                  <c:v>8.5831966668774946</c:v>
                </c:pt>
                <c:pt idx="19">
                  <c:v>8.5973569875065952</c:v>
                </c:pt>
                <c:pt idx="20">
                  <c:v>8.6113411881971995</c:v>
                </c:pt>
                <c:pt idx="21">
                  <c:v>8.6251510284661084</c:v>
                </c:pt>
                <c:pt idx="22">
                  <c:v>8.6387882846717741</c:v>
                </c:pt>
                <c:pt idx="23">
                  <c:v>8.6522547483802477</c:v>
                </c:pt>
                <c:pt idx="24">
                  <c:v>8.6655522247718935</c:v>
                </c:pt>
                <c:pt idx="25">
                  <c:v>8.6786825310895299</c:v>
                </c:pt>
                <c:pt idx="26">
                  <c:v>8.6916474951284961</c:v>
                </c:pt>
                <c:pt idx="27">
                  <c:v>8.7044489537690666</c:v>
                </c:pt>
                <c:pt idx="28">
                  <c:v>8.7170887515515219</c:v>
                </c:pt>
                <c:pt idx="29">
                  <c:v>8.729568739294109</c:v>
                </c:pt>
                <c:pt idx="30">
                  <c:v>8.7418907727540311</c:v>
                </c:pt>
                <c:pt idx="31">
                  <c:v>8.7540567113314953</c:v>
                </c:pt>
                <c:pt idx="32">
                  <c:v>8.7660684168168306</c:v>
                </c:pt>
                <c:pt idx="33">
                  <c:v>8.7779277521805259</c:v>
                </c:pt>
                <c:pt idx="34">
                  <c:v>8.7896365804060501</c:v>
                </c:pt>
                <c:pt idx="35">
                  <c:v>8.8011967633651889</c:v>
                </c:pt>
                <c:pt idx="36">
                  <c:v>8.8126101607355949</c:v>
                </c:pt>
                <c:pt idx="37">
                  <c:v>8.8238786289602036</c:v>
                </c:pt>
                <c:pt idx="38">
                  <c:v>8.83500402024805</c:v>
                </c:pt>
                <c:pt idx="39">
                  <c:v>8.8459881816160806</c:v>
                </c:pt>
                <c:pt idx="40">
                  <c:v>8.8568329539713613</c:v>
                </c:pt>
                <c:pt idx="41">
                  <c:v>8.8675401712331876</c:v>
                </c:pt>
                <c:pt idx="42">
                  <c:v>8.8781116594944489</c:v>
                </c:pt>
                <c:pt idx="43">
                  <c:v>8.8885492362216194</c:v>
                </c:pt>
                <c:pt idx="44">
                  <c:v>8.8988547094927117</c:v>
                </c:pt>
                <c:pt idx="45">
                  <c:v>8.909029877272463</c:v>
                </c:pt>
                <c:pt idx="46">
                  <c:v>8.919076526724055</c:v>
                </c:pt>
                <c:pt idx="47">
                  <c:v>8.9289964335565823</c:v>
                </c:pt>
                <c:pt idx="48">
                  <c:v>8.938791361407521</c:v>
                </c:pt>
                <c:pt idx="49">
                  <c:v>8.9484630612593783</c:v>
                </c:pt>
                <c:pt idx="50">
                  <c:v>8.9580132708897242</c:v>
                </c:pt>
                <c:pt idx="51">
                  <c:v>8.9674437143538093</c:v>
                </c:pt>
                <c:pt idx="52">
                  <c:v>8.9767561014988804</c:v>
                </c:pt>
                <c:pt idx="53">
                  <c:v>8.9859521275093925</c:v>
                </c:pt>
                <c:pt idx="54">
                  <c:v>8.9950334724822909</c:v>
                </c:pt>
                <c:pt idx="55">
                  <c:v>9.004001801031432</c:v>
                </c:pt>
                <c:pt idx="56">
                  <c:v>9.0128587619203966</c:v>
                </c:pt>
                <c:pt idx="57">
                  <c:v>9.0216059877227561</c:v>
                </c:pt>
                <c:pt idx="58">
                  <c:v>9.0302450945089809</c:v>
                </c:pt>
                <c:pt idx="59">
                  <c:v>9.038777681559143</c:v>
                </c:pt>
                <c:pt idx="60">
                  <c:v>9.0472053311005443</c:v>
                </c:pt>
                <c:pt idx="61">
                  <c:v>9.0555296080694774</c:v>
                </c:pt>
                <c:pt idx="62">
                  <c:v>9.0637520598962276</c:v>
                </c:pt>
                <c:pt idx="63">
                  <c:v>9.0718742163125636</c:v>
                </c:pt>
                <c:pt idx="64">
                  <c:v>9.0798975891808347</c:v>
                </c:pt>
                <c:pt idx="65">
                  <c:v>9.0878236723439318</c:v>
                </c:pt>
                <c:pt idx="66">
                  <c:v>9.0956539414952751</c:v>
                </c:pt>
                <c:pt idx="67">
                  <c:v>9.1033898540680891</c:v>
                </c:pt>
                <c:pt idx="68">
                  <c:v>9.1110328491431716</c:v>
                </c:pt>
                <c:pt idx="69">
                  <c:v>9.118584347374405</c:v>
                </c:pt>
                <c:pt idx="70">
                  <c:v>9.1260457509312936</c:v>
                </c:pt>
                <c:pt idx="71">
                  <c:v>9.1334184434577814</c:v>
                </c:pt>
                <c:pt idx="72">
                  <c:v>9.1407037900466577</c:v>
                </c:pt>
                <c:pt idx="73">
                  <c:v>9.147903137228834</c:v>
                </c:pt>
                <c:pt idx="74">
                  <c:v>9.1550178129768494</c:v>
                </c:pt>
                <c:pt idx="75">
                  <c:v>9.1620491267219215</c:v>
                </c:pt>
                <c:pt idx="76">
                  <c:v>9.1689983693838801</c:v>
                </c:pt>
                <c:pt idx="77">
                  <c:v>9.1758668134134105</c:v>
                </c:pt>
                <c:pt idx="78">
                  <c:v>9.182655712845925</c:v>
                </c:pt>
                <c:pt idx="79">
                  <c:v>9.1893663033665369</c:v>
                </c:pt>
                <c:pt idx="80">
                  <c:v>9.1959998023854901</c:v>
                </c:pt>
                <c:pt idx="81">
                  <c:v>9.2025574091235445</c:v>
                </c:pt>
                <c:pt idx="82">
                  <c:v>9.2090403047067166</c:v>
                </c:pt>
                <c:pt idx="83">
                  <c:v>9.2154496522699034</c:v>
                </c:pt>
                <c:pt idx="84">
                  <c:v>9.2217865970688138</c:v>
                </c:pt>
                <c:pt idx="85">
                  <c:v>9.2280522665997626</c:v>
                </c:pt>
                <c:pt idx="86">
                  <c:v>9.2342477707268351</c:v>
                </c:pt>
                <c:pt idx="87">
                  <c:v>9.2403742018159356</c:v>
                </c:pt>
                <c:pt idx="88">
                  <c:v>9.2464326348752834</c:v>
                </c:pt>
                <c:pt idx="89">
                  <c:v>9.2524241277019588</c:v>
                </c:pt>
                <c:pt idx="90">
                  <c:v>9.2583497210340031</c:v>
                </c:pt>
                <c:pt idx="91">
                  <c:v>9.2642104387077779</c:v>
                </c:pt>
                <c:pt idx="92">
                  <c:v>9.2700072878200643</c:v>
                </c:pt>
                <c:pt idx="93">
                  <c:v>9.2757412588946693</c:v>
                </c:pt>
                <c:pt idx="94">
                  <c:v>9.281413326053066</c:v>
                </c:pt>
                <c:pt idx="95">
                  <c:v>9.2870244471887933</c:v>
                </c:pt>
                <c:pt idx="96">
                  <c:v>9.2925755641452454</c:v>
                </c:pt>
                <c:pt idx="97">
                  <c:v>9.2980676028965643</c:v>
                </c:pt>
                <c:pt idx="98">
                  <c:v>9.3035014737312931</c:v>
                </c:pt>
                <c:pt idx="99">
                  <c:v>9.3088780714385493</c:v>
                </c:pt>
                <c:pt idx="100">
                  <c:v>9.3141982754963806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41-4E5E-A0D9-503B86674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8796952"/>
        <c:axId val="738810728"/>
      </c:scatterChart>
      <c:valAx>
        <c:axId val="738796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810728"/>
        <c:crosses val="autoZero"/>
        <c:crossBetween val="midCat"/>
      </c:valAx>
      <c:valAx>
        <c:axId val="73881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8796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661986</xdr:colOff>
      <xdr:row>32</xdr:row>
      <xdr:rowOff>142875</xdr:rowOff>
    </xdr:from>
    <xdr:to>
      <xdr:col>12</xdr:col>
      <xdr:colOff>171449</xdr:colOff>
      <xdr:row>52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D6B26CA-2DDC-4374-A470-CBD8615B0F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98A28-3FAD-43A9-A808-258B9FC113FD}">
  <dimension ref="A2:O132"/>
  <sheetViews>
    <sheetView tabSelected="1" workbookViewId="0">
      <selection activeCell="I10" sqref="I10"/>
    </sheetView>
  </sheetViews>
  <sheetFormatPr defaultRowHeight="15" x14ac:dyDescent="0.25"/>
  <cols>
    <col min="1" max="1" width="31.140625" customWidth="1"/>
    <col min="3" max="3" width="9.5703125" bestFit="1" customWidth="1"/>
    <col min="4" max="4" width="11.85546875" bestFit="1" customWidth="1"/>
    <col min="5" max="5" width="11" customWidth="1"/>
    <col min="8" max="8" width="10.5703125" customWidth="1"/>
    <col min="11" max="11" width="12" bestFit="1" customWidth="1"/>
    <col min="13" max="13" width="12" bestFit="1" customWidth="1"/>
  </cols>
  <sheetData>
    <row r="2" spans="1:11" ht="15.75" thickBot="1" x14ac:dyDescent="0.3">
      <c r="A2" s="1" t="s">
        <v>0</v>
      </c>
      <c r="B2" s="1" t="s">
        <v>2</v>
      </c>
      <c r="C2" s="1" t="s">
        <v>3</v>
      </c>
      <c r="D2" s="1" t="s">
        <v>4</v>
      </c>
    </row>
    <row r="3" spans="1:11" x14ac:dyDescent="0.25">
      <c r="A3" s="2" t="s">
        <v>1</v>
      </c>
      <c r="B3" s="3"/>
      <c r="C3" s="3"/>
      <c r="D3" s="3"/>
    </row>
    <row r="4" spans="1:11" x14ac:dyDescent="0.25">
      <c r="A4" t="s">
        <v>5</v>
      </c>
      <c r="B4" s="6" t="s">
        <v>16</v>
      </c>
      <c r="C4" s="15">
        <v>8.64</v>
      </c>
      <c r="D4" s="6" t="s">
        <v>17</v>
      </c>
    </row>
    <row r="5" spans="1:11" x14ac:dyDescent="0.25">
      <c r="A5" t="s">
        <v>6</v>
      </c>
      <c r="B5" s="6" t="s">
        <v>15</v>
      </c>
      <c r="C5" s="15">
        <v>5.0000000000000001E-3</v>
      </c>
      <c r="D5" s="6"/>
    </row>
    <row r="6" spans="1:11" x14ac:dyDescent="0.25">
      <c r="A6" t="s">
        <v>7</v>
      </c>
      <c r="B6" s="6" t="s">
        <v>14</v>
      </c>
      <c r="C6" s="15">
        <v>10</v>
      </c>
      <c r="D6" s="6" t="s">
        <v>18</v>
      </c>
    </row>
    <row r="7" spans="1:11" x14ac:dyDescent="0.25">
      <c r="A7" t="s">
        <v>8</v>
      </c>
      <c r="B7" s="6" t="s">
        <v>13</v>
      </c>
      <c r="C7" s="15">
        <v>0.5</v>
      </c>
      <c r="D7" s="6" t="s">
        <v>18</v>
      </c>
    </row>
    <row r="8" spans="1:11" x14ac:dyDescent="0.25">
      <c r="A8" t="s">
        <v>9</v>
      </c>
      <c r="B8" s="6" t="s">
        <v>12</v>
      </c>
      <c r="C8" s="15">
        <v>5</v>
      </c>
      <c r="D8" s="6"/>
    </row>
    <row r="9" spans="1:11" x14ac:dyDescent="0.25">
      <c r="A9" t="s">
        <v>10</v>
      </c>
      <c r="B9" s="6" t="s">
        <v>11</v>
      </c>
      <c r="C9" s="15">
        <v>36.524000000000001</v>
      </c>
      <c r="D9" s="6" t="s">
        <v>19</v>
      </c>
    </row>
    <row r="10" spans="1:11" x14ac:dyDescent="0.25">
      <c r="A10" t="s">
        <v>63</v>
      </c>
      <c r="B10" s="6" t="s">
        <v>65</v>
      </c>
      <c r="C10" s="15">
        <v>1</v>
      </c>
      <c r="D10" s="6" t="s">
        <v>64</v>
      </c>
    </row>
    <row r="11" spans="1:11" x14ac:dyDescent="0.25">
      <c r="A11" t="s">
        <v>53</v>
      </c>
      <c r="B11" s="6" t="s">
        <v>54</v>
      </c>
      <c r="C11" s="15">
        <v>0.78</v>
      </c>
      <c r="D11" s="6" t="s">
        <v>55</v>
      </c>
    </row>
    <row r="13" spans="1:11" x14ac:dyDescent="0.25">
      <c r="A13" s="7" t="s">
        <v>52</v>
      </c>
      <c r="B13" s="7"/>
      <c r="C13" s="7"/>
      <c r="D13" s="7"/>
    </row>
    <row r="14" spans="1:11" x14ac:dyDescent="0.25">
      <c r="A14" s="8"/>
      <c r="B14" s="8" t="s">
        <v>21</v>
      </c>
      <c r="C14" s="8" t="s">
        <v>22</v>
      </c>
      <c r="D14" s="8" t="s">
        <v>59</v>
      </c>
      <c r="E14" s="8" t="s">
        <v>66</v>
      </c>
      <c r="F14" s="8" t="s">
        <v>57</v>
      </c>
      <c r="G14" s="8" t="s">
        <v>61</v>
      </c>
      <c r="H14" s="8" t="s">
        <v>61</v>
      </c>
      <c r="I14" s="8" t="s">
        <v>61</v>
      </c>
      <c r="J14" s="8" t="s">
        <v>69</v>
      </c>
      <c r="K14" s="8" t="s">
        <v>70</v>
      </c>
    </row>
    <row r="15" spans="1:11" ht="15.75" thickBot="1" x14ac:dyDescent="0.3">
      <c r="A15" s="9" t="s">
        <v>20</v>
      </c>
      <c r="B15" s="9" t="s">
        <v>77</v>
      </c>
      <c r="C15" s="9" t="s">
        <v>23</v>
      </c>
      <c r="D15" s="9" t="s">
        <v>60</v>
      </c>
      <c r="E15" s="9" t="s">
        <v>67</v>
      </c>
      <c r="F15" s="9" t="s">
        <v>58</v>
      </c>
      <c r="G15" s="9" t="s">
        <v>62</v>
      </c>
      <c r="H15" s="9" t="s">
        <v>76</v>
      </c>
      <c r="I15" s="9" t="s">
        <v>68</v>
      </c>
      <c r="J15" s="9"/>
      <c r="K15" s="9" t="s">
        <v>71</v>
      </c>
    </row>
    <row r="16" spans="1:11" x14ac:dyDescent="0.25">
      <c r="A16" t="s">
        <v>24</v>
      </c>
      <c r="B16" s="15">
        <v>78.099999999999994</v>
      </c>
      <c r="C16" s="15">
        <v>1770</v>
      </c>
      <c r="D16" s="23">
        <v>0.05</v>
      </c>
      <c r="E16" s="6">
        <f>D16*V_N</f>
        <v>0.05</v>
      </c>
      <c r="F16" s="16">
        <v>0.87</v>
      </c>
      <c r="G16" s="12">
        <f>D16*V_N*F16/B16*1000000</f>
        <v>556.97823303457119</v>
      </c>
      <c r="H16" s="14">
        <f>G16/$G$19</f>
        <v>6.9749111635030059E-2</v>
      </c>
      <c r="I16" s="14">
        <f>D16*F16/den_N</f>
        <v>5.5769230769230772E-2</v>
      </c>
      <c r="J16">
        <f>I16/F16</f>
        <v>6.4102564102564111E-2</v>
      </c>
      <c r="K16" s="12">
        <f>I16*M_N</f>
        <v>43.5</v>
      </c>
    </row>
    <row r="17" spans="1:15" x14ac:dyDescent="0.25">
      <c r="A17" t="s">
        <v>25</v>
      </c>
      <c r="B17" s="15">
        <v>92.1</v>
      </c>
      <c r="C17" s="15">
        <v>530</v>
      </c>
      <c r="D17" s="23">
        <v>0.1</v>
      </c>
      <c r="E17" s="6">
        <f>D17*V_N</f>
        <v>0.1</v>
      </c>
      <c r="F17" s="16">
        <v>0.74</v>
      </c>
      <c r="G17" s="12">
        <f>D17*V_N*F17/B17*1000000</f>
        <v>803.47448425624327</v>
      </c>
      <c r="H17" s="14">
        <f>G17/$G$19</f>
        <v>0.10061727402336108</v>
      </c>
      <c r="I17" s="14">
        <f>D17*F17/den_N</f>
        <v>9.4871794871794868E-2</v>
      </c>
      <c r="J17">
        <f>I17/F17</f>
        <v>0.12820512820512819</v>
      </c>
      <c r="K17" s="12">
        <f>I17*M_N</f>
        <v>74</v>
      </c>
    </row>
    <row r="18" spans="1:15" x14ac:dyDescent="0.25">
      <c r="A18" s="4" t="s">
        <v>75</v>
      </c>
      <c r="B18" s="17">
        <v>100</v>
      </c>
      <c r="C18" s="17">
        <v>10</v>
      </c>
      <c r="D18" s="21">
        <f>1-SUM(D16:D17)</f>
        <v>0.85</v>
      </c>
      <c r="E18" s="13">
        <f>D18*V_N</f>
        <v>0.85</v>
      </c>
      <c r="F18" s="20">
        <f>I18/(1/den_N-J19)</f>
        <v>0.77941176470588236</v>
      </c>
      <c r="G18" s="18">
        <f>D18*V_N*F18/B18*1000000</f>
        <v>6625</v>
      </c>
      <c r="H18" s="19">
        <f>G18/$G$19</f>
        <v>0.82963361434160887</v>
      </c>
      <c r="I18" s="21">
        <f>1-SUM(I16:I17)</f>
        <v>0.84935897435897434</v>
      </c>
      <c r="J18" s="4"/>
      <c r="K18" s="18">
        <f>I18*M_N</f>
        <v>662.5</v>
      </c>
    </row>
    <row r="19" spans="1:15" x14ac:dyDescent="0.25">
      <c r="B19" s="6"/>
      <c r="C19" s="6"/>
      <c r="D19" s="14">
        <f>SUM(D16:D18)</f>
        <v>1</v>
      </c>
      <c r="E19" s="6">
        <f>SUM(E16:E18)</f>
        <v>1</v>
      </c>
      <c r="F19" s="6"/>
      <c r="G19" s="12">
        <f>SUM(G16:G18)</f>
        <v>7985.4527172908147</v>
      </c>
      <c r="H19" s="14">
        <f>SUM(H16:H18)</f>
        <v>1</v>
      </c>
      <c r="I19" s="14">
        <f>SUM(I16:I18)</f>
        <v>1</v>
      </c>
      <c r="J19">
        <f>SUM(J16:J18)</f>
        <v>0.19230769230769229</v>
      </c>
      <c r="K19" s="12">
        <f>SUM(K16:K18)</f>
        <v>780</v>
      </c>
    </row>
    <row r="20" spans="1:15" x14ac:dyDescent="0.25">
      <c r="B20" s="6"/>
      <c r="C20" s="6"/>
      <c r="D20" s="14"/>
      <c r="E20" s="6"/>
      <c r="F20" s="6"/>
      <c r="G20" s="12"/>
      <c r="H20" s="14"/>
      <c r="I20" s="14"/>
      <c r="K20" s="12"/>
    </row>
    <row r="21" spans="1:15" x14ac:dyDescent="0.25">
      <c r="B21" s="6"/>
      <c r="C21" s="6"/>
      <c r="D21" s="14"/>
      <c r="E21" s="6"/>
      <c r="F21" s="6"/>
      <c r="G21" s="12"/>
      <c r="H21" s="24"/>
      <c r="I21" s="14"/>
      <c r="K21" s="12"/>
    </row>
    <row r="22" spans="1:15" x14ac:dyDescent="0.25">
      <c r="A22" s="5" t="s">
        <v>26</v>
      </c>
      <c r="B22" s="10"/>
      <c r="C22" s="10"/>
      <c r="D22" s="10"/>
    </row>
    <row r="23" spans="1:15" x14ac:dyDescent="0.25">
      <c r="A23" t="s">
        <v>27</v>
      </c>
      <c r="B23" s="6" t="s">
        <v>28</v>
      </c>
      <c r="C23" s="6">
        <f>K*i</f>
        <v>4.3200000000000002E-2</v>
      </c>
      <c r="D23" s="6" t="s">
        <v>17</v>
      </c>
    </row>
    <row r="24" spans="1:15" x14ac:dyDescent="0.25">
      <c r="A24" t="s">
        <v>31</v>
      </c>
      <c r="B24" s="6" t="s">
        <v>32</v>
      </c>
      <c r="C24" s="6">
        <f>w*b</f>
        <v>5</v>
      </c>
      <c r="D24" s="6" t="s">
        <v>33</v>
      </c>
    </row>
    <row r="25" spans="1:15" x14ac:dyDescent="0.25">
      <c r="A25" t="s">
        <v>29</v>
      </c>
      <c r="B25" s="6" t="s">
        <v>34</v>
      </c>
      <c r="C25" s="6">
        <f>q*A</f>
        <v>0.21600000000000003</v>
      </c>
      <c r="D25" s="6" t="s">
        <v>30</v>
      </c>
    </row>
    <row r="26" spans="1:15" ht="18.75" x14ac:dyDescent="0.35">
      <c r="A26" t="s">
        <v>50</v>
      </c>
      <c r="B26" s="6" t="s">
        <v>51</v>
      </c>
      <c r="C26" s="11">
        <f>G19/V_N/1000</f>
        <v>7.9854527172908147</v>
      </c>
      <c r="D26" s="6" t="s">
        <v>56</v>
      </c>
    </row>
    <row r="27" spans="1:15" x14ac:dyDescent="0.25">
      <c r="A27" t="s">
        <v>72</v>
      </c>
      <c r="B27" s="6" t="s">
        <v>73</v>
      </c>
      <c r="C27" s="12">
        <f>V_N*den_N*1000</f>
        <v>780</v>
      </c>
      <c r="D27" s="6" t="s">
        <v>74</v>
      </c>
    </row>
    <row r="29" spans="1:15" ht="15.75" thickBot="1" x14ac:dyDescent="0.3">
      <c r="A29" s="1" t="s">
        <v>35</v>
      </c>
      <c r="B29" s="1" t="s">
        <v>36</v>
      </c>
      <c r="C29" s="1" t="s">
        <v>37</v>
      </c>
      <c r="D29" s="1" t="s">
        <v>38</v>
      </c>
      <c r="E29" s="1" t="s">
        <v>39</v>
      </c>
      <c r="F29" s="1" t="s">
        <v>40</v>
      </c>
      <c r="G29" s="1" t="s">
        <v>41</v>
      </c>
      <c r="H29" s="1" t="s">
        <v>42</v>
      </c>
      <c r="I29" s="1" t="s">
        <v>43</v>
      </c>
      <c r="J29" s="1" t="s">
        <v>44</v>
      </c>
      <c r="K29" s="1" t="s">
        <v>45</v>
      </c>
      <c r="L29" s="1" t="s">
        <v>46</v>
      </c>
      <c r="M29" s="1" t="s">
        <v>47</v>
      </c>
      <c r="N29" s="1" t="s">
        <v>48</v>
      </c>
      <c r="O29" s="1" t="s">
        <v>49</v>
      </c>
    </row>
    <row r="30" spans="1:15" x14ac:dyDescent="0.25">
      <c r="A30" s="3">
        <v>0</v>
      </c>
      <c r="B30" s="3">
        <f>A30/365.24</f>
        <v>0</v>
      </c>
      <c r="C30" s="22">
        <f>G16</f>
        <v>556.97823303457119</v>
      </c>
      <c r="D30" s="22">
        <f>G17</f>
        <v>803.47448425624327</v>
      </c>
      <c r="E30" s="22">
        <f>G18</f>
        <v>6625</v>
      </c>
      <c r="F30" s="22">
        <f>SUM(C30:E30)</f>
        <v>7985.4527172908147</v>
      </c>
      <c r="G30" s="22">
        <f>H16</f>
        <v>6.9749111635030059E-2</v>
      </c>
      <c r="H30" s="22">
        <f>H17</f>
        <v>0.10061727402336108</v>
      </c>
      <c r="I30" s="22">
        <f>H18</f>
        <v>0.82963361434160887</v>
      </c>
      <c r="J30" s="22">
        <f>G30*$C$16</f>
        <v>123.4559275940032</v>
      </c>
      <c r="K30" s="22">
        <f>H30*$C$17</f>
        <v>53.327155232381372</v>
      </c>
      <c r="L30" s="22">
        <f>I30*$C$18</f>
        <v>8.296336143416088</v>
      </c>
      <c r="M30" s="22">
        <f>J30</f>
        <v>123.4559275940032</v>
      </c>
      <c r="N30" s="22">
        <f t="shared" ref="N30:O30" si="0">K30</f>
        <v>53.327155232381372</v>
      </c>
      <c r="O30" s="22">
        <f t="shared" si="0"/>
        <v>8.296336143416088</v>
      </c>
    </row>
    <row r="31" spans="1:15" x14ac:dyDescent="0.25">
      <c r="A31">
        <f>A30+dt</f>
        <v>36.524000000000001</v>
      </c>
      <c r="B31">
        <f t="shared" ref="B31:B94" si="1">A31/365.24</f>
        <v>0.1</v>
      </c>
      <c r="C31" s="12">
        <f>C30-M30*Q_gw/$B$16*dt</f>
        <v>544.50747082356258</v>
      </c>
      <c r="D31" s="12">
        <f>D30-N30*Q_gw/$B$17*dt</f>
        <v>798.90653919842759</v>
      </c>
      <c r="E31" s="12">
        <f>E30-O30*Q_gw/$B$18*dt</f>
        <v>6624.3454867763876</v>
      </c>
      <c r="F31" s="12">
        <f>SUM(C31:E31)</f>
        <v>7967.7594967983778</v>
      </c>
      <c r="G31" s="12">
        <f>C31/$F31</f>
        <v>6.8338843691549397E-2</v>
      </c>
      <c r="H31" s="12">
        <f t="shared" ref="H31" si="2">D31/$F31</f>
        <v>0.10026740133401943</v>
      </c>
      <c r="I31" s="12">
        <f t="shared" ref="I31" si="3">E31/$F31</f>
        <v>0.83139375497443113</v>
      </c>
      <c r="J31" s="12">
        <f>G31*$C$16</f>
        <v>120.95975333404243</v>
      </c>
      <c r="K31" s="12">
        <f>H31*$C$17</f>
        <v>53.141722707030297</v>
      </c>
      <c r="L31" s="12">
        <f>I31*$C$18</f>
        <v>8.3139375497443115</v>
      </c>
      <c r="M31" s="12">
        <f>J31</f>
        <v>120.95975333404243</v>
      </c>
      <c r="N31" s="12">
        <f t="shared" ref="N31" si="4">K31</f>
        <v>53.141722707030297</v>
      </c>
      <c r="O31" s="12">
        <f t="shared" ref="O31" si="5">L31</f>
        <v>8.3139375497443115</v>
      </c>
    </row>
    <row r="32" spans="1:15" x14ac:dyDescent="0.25">
      <c r="A32">
        <f>A31+dt</f>
        <v>73.048000000000002</v>
      </c>
      <c r="B32">
        <f t="shared" si="1"/>
        <v>0.2</v>
      </c>
      <c r="C32" s="12">
        <f>C31-M31*Q_gw/$B$16*dt</f>
        <v>532.28885685881392</v>
      </c>
      <c r="D32" s="12">
        <f>D31-N31*Q_gw/$B$17*dt</f>
        <v>794.35447808536856</v>
      </c>
      <c r="E32" s="12">
        <f>E31-O31*Q_gw/$B$18*dt</f>
        <v>6623.6895849454431</v>
      </c>
      <c r="F32" s="12">
        <f t="shared" ref="F32:F95" si="6">SUM(C32:E32)</f>
        <v>7950.3329198896254</v>
      </c>
      <c r="G32" s="12">
        <f t="shared" ref="G32:G95" si="7">C32/$F32</f>
        <v>6.6951769469573819E-2</v>
      </c>
      <c r="H32" s="12">
        <f t="shared" ref="H32:H95" si="8">D32/$F32</f>
        <v>9.9914618178831766E-2</v>
      </c>
      <c r="I32" s="12">
        <f t="shared" ref="I32:I95" si="9">E32/$F32</f>
        <v>0.83313361235159444</v>
      </c>
      <c r="J32" s="12">
        <f t="shared" ref="J32:J95" si="10">G32*$C$16</f>
        <v>118.50463196114566</v>
      </c>
      <c r="K32" s="12">
        <f t="shared" ref="K32:K95" si="11">H32*$C$17</f>
        <v>52.954747634780837</v>
      </c>
      <c r="L32" s="12">
        <f t="shared" ref="L32:L95" si="12">I32*$C$18</f>
        <v>8.3313361235159444</v>
      </c>
      <c r="M32" s="12">
        <f t="shared" ref="M32:M95" si="13">J32</f>
        <v>118.50463196114566</v>
      </c>
      <c r="N32" s="12">
        <f t="shared" ref="N32:N95" si="14">K32</f>
        <v>52.954747634780837</v>
      </c>
      <c r="O32" s="12">
        <f t="shared" ref="O32:O95" si="15">L32</f>
        <v>8.3313361235159444</v>
      </c>
    </row>
    <row r="33" spans="1:15" x14ac:dyDescent="0.25">
      <c r="A33">
        <f>A32+dt</f>
        <v>109.572</v>
      </c>
      <c r="B33">
        <f t="shared" si="1"/>
        <v>0.3</v>
      </c>
      <c r="C33" s="12">
        <f>C32-M32*Q_gw/$B$16*dt</f>
        <v>520.31824422893226</v>
      </c>
      <c r="D33" s="12">
        <f>D32-N32*Q_gw/$B$17*dt</f>
        <v>789.81843304992503</v>
      </c>
      <c r="E33" s="12">
        <f>E32-O32*Q_gw/$B$18*dt</f>
        <v>6623.0323105090001</v>
      </c>
      <c r="F33" s="12">
        <f t="shared" si="6"/>
        <v>7933.168987787858</v>
      </c>
      <c r="G33" s="12">
        <f t="shared" si="7"/>
        <v>6.5587692009321685E-2</v>
      </c>
      <c r="H33" s="12">
        <f t="shared" si="8"/>
        <v>9.9559007789416024E-2</v>
      </c>
      <c r="I33" s="12">
        <f t="shared" si="9"/>
        <v>0.83485330020126225</v>
      </c>
      <c r="J33" s="12">
        <f t="shared" si="10"/>
        <v>116.09021485649939</v>
      </c>
      <c r="K33" s="12">
        <f t="shared" si="11"/>
        <v>52.766274128390492</v>
      </c>
      <c r="L33" s="12">
        <f t="shared" si="12"/>
        <v>8.3485330020126227</v>
      </c>
      <c r="M33" s="12">
        <f t="shared" si="13"/>
        <v>116.09021485649939</v>
      </c>
      <c r="N33" s="12">
        <f t="shared" si="14"/>
        <v>52.766274128390492</v>
      </c>
      <c r="O33" s="12">
        <f t="shared" si="15"/>
        <v>8.3485330020126227</v>
      </c>
    </row>
    <row r="34" spans="1:15" x14ac:dyDescent="0.25">
      <c r="A34">
        <f>A33+dt</f>
        <v>146.096</v>
      </c>
      <c r="B34">
        <f t="shared" si="1"/>
        <v>0.4</v>
      </c>
      <c r="C34" s="12">
        <f>C33-M33*Q_gw/$B$16*dt</f>
        <v>508.59152123786367</v>
      </c>
      <c r="D34" s="12">
        <f>D33-N33*Q_gw/$B$17*dt</f>
        <v>785.29853244630601</v>
      </c>
      <c r="E34" s="12">
        <f>E33-O33*Q_gw/$B$18*dt</f>
        <v>6622.3736793791704</v>
      </c>
      <c r="F34" s="12">
        <f t="shared" si="6"/>
        <v>7916.2637330633406</v>
      </c>
      <c r="G34" s="12">
        <f t="shared" si="7"/>
        <v>6.4246409466332297E-2</v>
      </c>
      <c r="H34" s="12">
        <f t="shared" si="8"/>
        <v>9.920065310184159E-2</v>
      </c>
      <c r="I34" s="12">
        <f t="shared" si="9"/>
        <v>0.83655293743182602</v>
      </c>
      <c r="J34" s="12">
        <f t="shared" si="10"/>
        <v>113.71614475540817</v>
      </c>
      <c r="K34" s="12">
        <f t="shared" si="11"/>
        <v>52.576346143976046</v>
      </c>
      <c r="L34" s="12">
        <f t="shared" si="12"/>
        <v>8.3655293743182604</v>
      </c>
      <c r="M34" s="12">
        <f t="shared" si="13"/>
        <v>113.71614475540817</v>
      </c>
      <c r="N34" s="12">
        <f t="shared" si="14"/>
        <v>52.576346143976046</v>
      </c>
      <c r="O34" s="12">
        <f t="shared" si="15"/>
        <v>8.3655293743182604</v>
      </c>
    </row>
    <row r="35" spans="1:15" x14ac:dyDescent="0.25">
      <c r="A35">
        <f>A34+dt</f>
        <v>182.62</v>
      </c>
      <c r="B35">
        <f t="shared" si="1"/>
        <v>0.5</v>
      </c>
      <c r="C35" s="12">
        <f>C34-M34*Q_gw/$B$16*dt</f>
        <v>497.10461227824715</v>
      </c>
      <c r="D35" s="12">
        <f>D34-N34*Q_gw/$B$17*dt</f>
        <v>780.79490086348824</v>
      </c>
      <c r="E35" s="12">
        <f>E34-O34*Q_gw/$B$18*dt</f>
        <v>6621.713707374256</v>
      </c>
      <c r="F35" s="12">
        <f t="shared" si="6"/>
        <v>7899.613220515992</v>
      </c>
      <c r="G35" s="12">
        <f t="shared" si="7"/>
        <v>6.2927715370573165E-2</v>
      </c>
      <c r="H35" s="12">
        <f t="shared" si="8"/>
        <v>9.8839636709768905E-2</v>
      </c>
      <c r="I35" s="12">
        <f t="shared" si="9"/>
        <v>0.8382326479196579</v>
      </c>
      <c r="J35" s="12">
        <f t="shared" si="10"/>
        <v>111.38205620591449</v>
      </c>
      <c r="K35" s="12">
        <f t="shared" si="11"/>
        <v>52.385007456177519</v>
      </c>
      <c r="L35" s="12">
        <f t="shared" si="12"/>
        <v>8.3823264791965784</v>
      </c>
      <c r="M35" s="12">
        <f t="shared" si="13"/>
        <v>111.38205620591449</v>
      </c>
      <c r="N35" s="12">
        <f t="shared" si="14"/>
        <v>52.385007456177519</v>
      </c>
      <c r="O35" s="12">
        <f t="shared" si="15"/>
        <v>8.3823264791965784</v>
      </c>
    </row>
    <row r="36" spans="1:15" x14ac:dyDescent="0.25">
      <c r="A36">
        <f>A35+dt</f>
        <v>219.14400000000001</v>
      </c>
      <c r="B36">
        <f t="shared" si="1"/>
        <v>0.6</v>
      </c>
      <c r="C36" s="12">
        <f>C35-M35*Q_gw/$B$16*dt</f>
        <v>485.85347865844176</v>
      </c>
      <c r="D36" s="12">
        <f>D35-N35*Q_gw/$B$17*dt</f>
        <v>776.30765914076119</v>
      </c>
      <c r="E36" s="12">
        <f>E35-O35*Q_gw/$B$18*dt</f>
        <v>6621.0524102148311</v>
      </c>
      <c r="F36" s="12">
        <f t="shared" si="6"/>
        <v>7883.2135480140341</v>
      </c>
      <c r="G36" s="12">
        <f t="shared" si="7"/>
        <v>6.1631398883116598E-2</v>
      </c>
      <c r="H36" s="12">
        <f t="shared" si="8"/>
        <v>9.8476040819207702E-2</v>
      </c>
      <c r="I36" s="12">
        <f t="shared" si="9"/>
        <v>0.83989256029767567</v>
      </c>
      <c r="J36" s="12">
        <f t="shared" si="10"/>
        <v>109.08757602311638</v>
      </c>
      <c r="K36" s="12">
        <f t="shared" si="11"/>
        <v>52.192301634180083</v>
      </c>
      <c r="L36" s="12">
        <f t="shared" si="12"/>
        <v>8.3989256029767567</v>
      </c>
      <c r="M36" s="12">
        <f t="shared" si="13"/>
        <v>109.08757602311638</v>
      </c>
      <c r="N36" s="12">
        <f t="shared" si="14"/>
        <v>52.192301634180083</v>
      </c>
      <c r="O36" s="12">
        <f t="shared" si="15"/>
        <v>8.3989256029767567</v>
      </c>
    </row>
    <row r="37" spans="1:15" x14ac:dyDescent="0.25">
      <c r="A37">
        <f>A36+dt</f>
        <v>255.66800000000001</v>
      </c>
      <c r="B37">
        <f t="shared" si="1"/>
        <v>0.7</v>
      </c>
      <c r="C37" s="12">
        <f>C36-M36*Q_gw/$B$16*dt</f>
        <v>474.83411938366129</v>
      </c>
      <c r="D37" s="12">
        <f>D36-N36*Q_gw/$B$17*dt</f>
        <v>771.83692438532637</v>
      </c>
      <c r="E37" s="12">
        <f>E36-O36*Q_gw/$B$18*dt</f>
        <v>6620.3898035199891</v>
      </c>
      <c r="F37" s="12">
        <f t="shared" si="6"/>
        <v>7867.0608472889762</v>
      </c>
      <c r="G37" s="12">
        <f t="shared" si="7"/>
        <v>6.0357245050073713E-2</v>
      </c>
      <c r="H37" s="12">
        <f t="shared" si="8"/>
        <v>9.8109947204908773E-2</v>
      </c>
      <c r="I37" s="12">
        <f t="shared" si="9"/>
        <v>0.8415328077450176</v>
      </c>
      <c r="J37" s="12">
        <f t="shared" si="10"/>
        <v>106.83232373863048</v>
      </c>
      <c r="K37" s="12">
        <f t="shared" si="11"/>
        <v>51.998272018601646</v>
      </c>
      <c r="L37" s="12">
        <f t="shared" si="12"/>
        <v>8.4153280774501766</v>
      </c>
      <c r="M37" s="12">
        <f t="shared" si="13"/>
        <v>106.83232373863048</v>
      </c>
      <c r="N37" s="12">
        <f t="shared" si="14"/>
        <v>51.998272018601646</v>
      </c>
      <c r="O37" s="12">
        <f t="shared" si="15"/>
        <v>8.4153280774501766</v>
      </c>
    </row>
    <row r="38" spans="1:15" x14ac:dyDescent="0.25">
      <c r="A38">
        <f>A37+dt</f>
        <v>292.19200000000001</v>
      </c>
      <c r="B38">
        <f t="shared" si="1"/>
        <v>0.8</v>
      </c>
      <c r="C38" s="12">
        <f>C37-M37*Q_gw/$B$16*dt</f>
        <v>464.0425718917071</v>
      </c>
      <c r="D38" s="12">
        <f>D37-N37*Q_gw/$B$17*dt</f>
        <v>767.38280999187577</v>
      </c>
      <c r="E38" s="12">
        <f>E37-O37*Q_gw/$B$18*dt</f>
        <v>6619.7259028037552</v>
      </c>
      <c r="F38" s="12">
        <f t="shared" si="6"/>
        <v>7851.1512846873375</v>
      </c>
      <c r="G38" s="12">
        <f t="shared" si="7"/>
        <v>5.9105035053491142E-2</v>
      </c>
      <c r="H38" s="12">
        <f t="shared" si="8"/>
        <v>9.7741437168400697E-2</v>
      </c>
      <c r="I38" s="12">
        <f t="shared" si="9"/>
        <v>0.84315352777810826</v>
      </c>
      <c r="J38" s="12">
        <f t="shared" si="10"/>
        <v>104.61591204467932</v>
      </c>
      <c r="K38" s="12">
        <f t="shared" si="11"/>
        <v>51.802961699252371</v>
      </c>
      <c r="L38" s="12">
        <f t="shared" si="12"/>
        <v>8.4315352777810819</v>
      </c>
      <c r="M38" s="12">
        <f t="shared" si="13"/>
        <v>104.61591204467932</v>
      </c>
      <c r="N38" s="12">
        <f t="shared" si="14"/>
        <v>51.802961699252371</v>
      </c>
      <c r="O38" s="12">
        <f t="shared" si="15"/>
        <v>8.4315352777810819</v>
      </c>
    </row>
    <row r="39" spans="1:15" x14ac:dyDescent="0.25">
      <c r="A39">
        <f>A38+dt</f>
        <v>328.71600000000001</v>
      </c>
      <c r="B39">
        <f t="shared" si="1"/>
        <v>0.9</v>
      </c>
      <c r="C39" s="12">
        <f>C38-M38*Q_gw/$B$16*dt</f>
        <v>453.47491274384163</v>
      </c>
      <c r="D39" s="12">
        <f>D38-N38*Q_gw/$B$17*dt</f>
        <v>762.94542566407608</v>
      </c>
      <c r="E39" s="12">
        <f>E38-O38*Q_gw/$B$18*dt</f>
        <v>6619.0607234716663</v>
      </c>
      <c r="F39" s="12">
        <f t="shared" si="6"/>
        <v>7835.4810618795836</v>
      </c>
      <c r="G39" s="12">
        <f t="shared" si="7"/>
        <v>5.7874546458933251E-2</v>
      </c>
      <c r="H39" s="12">
        <f t="shared" si="8"/>
        <v>9.7370591497678877E-2</v>
      </c>
      <c r="I39" s="12">
        <f t="shared" si="9"/>
        <v>0.8447548620433879</v>
      </c>
      <c r="J39" s="12">
        <f t="shared" si="10"/>
        <v>102.43794723231186</v>
      </c>
      <c r="K39" s="12">
        <f t="shared" si="11"/>
        <v>51.606413493769807</v>
      </c>
      <c r="L39" s="12">
        <f t="shared" si="12"/>
        <v>8.4475486204338797</v>
      </c>
      <c r="M39" s="12">
        <f t="shared" si="13"/>
        <v>102.43794723231186</v>
      </c>
      <c r="N39" s="12">
        <f t="shared" si="14"/>
        <v>51.606413493769807</v>
      </c>
      <c r="O39" s="12">
        <f t="shared" si="15"/>
        <v>8.4475486204338797</v>
      </c>
    </row>
    <row r="40" spans="1:15" x14ac:dyDescent="0.25">
      <c r="A40">
        <f>A39+dt</f>
        <v>365.24</v>
      </c>
      <c r="B40">
        <f t="shared" si="1"/>
        <v>1</v>
      </c>
      <c r="C40" s="12">
        <f>C39-M39*Q_gw/$B$16*dt</f>
        <v>443.12725827139604</v>
      </c>
      <c r="D40" s="12">
        <f>D39-N39*Q_gw/$B$17*dt</f>
        <v>758.52487743788242</v>
      </c>
      <c r="E40" s="12">
        <f>E39-O39*Q_gw/$B$18*dt</f>
        <v>6618.3942808175107</v>
      </c>
      <c r="F40" s="12">
        <f t="shared" si="6"/>
        <v>7820.0464165267895</v>
      </c>
      <c r="G40" s="12">
        <f t="shared" si="7"/>
        <v>5.6665553459490516E-2</v>
      </c>
      <c r="H40" s="12">
        <f t="shared" si="8"/>
        <v>9.6997490428551075E-2</v>
      </c>
      <c r="I40" s="12">
        <f t="shared" si="9"/>
        <v>0.84633695611195836</v>
      </c>
      <c r="J40" s="12">
        <f t="shared" si="10"/>
        <v>100.29802962329821</v>
      </c>
      <c r="K40" s="12">
        <f t="shared" si="11"/>
        <v>51.408669927132067</v>
      </c>
      <c r="L40" s="12">
        <f t="shared" si="12"/>
        <v>8.4633695611195829</v>
      </c>
      <c r="M40" s="12">
        <f t="shared" si="13"/>
        <v>100.29802962329821</v>
      </c>
      <c r="N40" s="12">
        <f t="shared" si="14"/>
        <v>51.408669927132067</v>
      </c>
      <c r="O40" s="12">
        <f t="shared" si="15"/>
        <v>8.4633695611195829</v>
      </c>
    </row>
    <row r="41" spans="1:15" x14ac:dyDescent="0.25">
      <c r="A41">
        <f>A40+dt</f>
        <v>401.76400000000001</v>
      </c>
      <c r="B41">
        <f t="shared" si="1"/>
        <v>1.1000000000000001</v>
      </c>
      <c r="C41" s="12">
        <f>C40-M40*Q_gw/$B$16*dt</f>
        <v>432.99576517875005</v>
      </c>
      <c r="D41" s="12">
        <f>D40-N40*Q_gw/$B$17*dt</f>
        <v>754.12126770660757</v>
      </c>
      <c r="E41" s="12">
        <f>E40-O40*Q_gw/$B$18*dt</f>
        <v>6617.7265900202337</v>
      </c>
      <c r="F41" s="12">
        <f t="shared" si="6"/>
        <v>7804.8436229055915</v>
      </c>
      <c r="G41" s="12">
        <f t="shared" si="7"/>
        <v>5.5477827115971629E-2</v>
      </c>
      <c r="H41" s="12">
        <f t="shared" si="8"/>
        <v>9.6622213607639576E-2</v>
      </c>
      <c r="I41" s="12">
        <f t="shared" si="9"/>
        <v>0.84789995927638884</v>
      </c>
      <c r="J41" s="12">
        <f t="shared" si="10"/>
        <v>98.195753995269783</v>
      </c>
      <c r="K41" s="12">
        <f t="shared" si="11"/>
        <v>51.209773212048972</v>
      </c>
      <c r="L41" s="12">
        <f t="shared" si="12"/>
        <v>8.4789995927638877</v>
      </c>
      <c r="M41" s="12">
        <f t="shared" si="13"/>
        <v>98.195753995269783</v>
      </c>
      <c r="N41" s="12">
        <f t="shared" si="14"/>
        <v>51.209773212048972</v>
      </c>
      <c r="O41" s="12">
        <f t="shared" si="15"/>
        <v>8.4789995927638877</v>
      </c>
    </row>
    <row r="42" spans="1:15" x14ac:dyDescent="0.25">
      <c r="A42">
        <f>A41+dt</f>
        <v>438.28800000000001</v>
      </c>
      <c r="B42">
        <f t="shared" si="1"/>
        <v>1.2</v>
      </c>
      <c r="C42" s="12">
        <f>C41-M41*Q_gw/$B$16*dt</f>
        <v>423.07663110336699</v>
      </c>
      <c r="D42" s="12">
        <f>D41-N41*Q_gw/$B$17*dt</f>
        <v>749.73469524767029</v>
      </c>
      <c r="E42" s="12">
        <f>E41-O41*Q_gw/$B$18*dt</f>
        <v>6617.0576661410014</v>
      </c>
      <c r="F42" s="12">
        <f t="shared" si="6"/>
        <v>7789.8689924920382</v>
      </c>
      <c r="G42" s="12">
        <f t="shared" si="7"/>
        <v>5.4311135593054637E-2</v>
      </c>
      <c r="H42" s="12">
        <f t="shared" si="8"/>
        <v>9.6244840057037276E-2</v>
      </c>
      <c r="I42" s="12">
        <f t="shared" si="9"/>
        <v>0.84944402434990818</v>
      </c>
      <c r="J42" s="12">
        <f t="shared" si="10"/>
        <v>96.13070999970671</v>
      </c>
      <c r="K42" s="12">
        <f t="shared" si="11"/>
        <v>51.009765230229753</v>
      </c>
      <c r="L42" s="12">
        <f t="shared" si="12"/>
        <v>8.4944402434990813</v>
      </c>
      <c r="M42" s="12">
        <f t="shared" si="13"/>
        <v>96.13070999970671</v>
      </c>
      <c r="N42" s="12">
        <f t="shared" si="14"/>
        <v>51.009765230229753</v>
      </c>
      <c r="O42" s="12">
        <f t="shared" si="15"/>
        <v>8.4944402434990813</v>
      </c>
    </row>
    <row r="43" spans="1:15" x14ac:dyDescent="0.25">
      <c r="A43">
        <f>A42+dt</f>
        <v>474.81200000000001</v>
      </c>
      <c r="B43">
        <f t="shared" si="1"/>
        <v>1.3</v>
      </c>
      <c r="C43" s="12">
        <f>C42-M42*Q_gw/$B$16*dt</f>
        <v>413.36609513360611</v>
      </c>
      <c r="D43" s="12">
        <f>D42-N42*Q_gw/$B$17*dt</f>
        <v>745.36525525094839</v>
      </c>
      <c r="E43" s="12">
        <f>E42-O42*Q_gw/$B$18*dt</f>
        <v>6616.3875241204214</v>
      </c>
      <c r="F43" s="12">
        <f t="shared" si="6"/>
        <v>7775.1188745049758</v>
      </c>
      <c r="G43" s="12">
        <f t="shared" si="7"/>
        <v>5.3165244391189352E-2</v>
      </c>
      <c r="H43" s="12">
        <f t="shared" si="8"/>
        <v>9.586544814061175E-2</v>
      </c>
      <c r="I43" s="12">
        <f t="shared" si="9"/>
        <v>0.85096930746819888</v>
      </c>
      <c r="J43" s="12">
        <f t="shared" si="10"/>
        <v>94.102482572405151</v>
      </c>
      <c r="K43" s="12">
        <f t="shared" si="11"/>
        <v>50.80868751452423</v>
      </c>
      <c r="L43" s="12">
        <f t="shared" si="12"/>
        <v>8.509693074681989</v>
      </c>
      <c r="M43" s="12">
        <f t="shared" si="13"/>
        <v>94.102482572405151</v>
      </c>
      <c r="N43" s="12">
        <f t="shared" si="14"/>
        <v>50.80868751452423</v>
      </c>
      <c r="O43" s="12">
        <f t="shared" si="15"/>
        <v>8.509693074681989</v>
      </c>
    </row>
    <row r="44" spans="1:15" x14ac:dyDescent="0.25">
      <c r="A44">
        <f>A43+dt</f>
        <v>511.33600000000001</v>
      </c>
      <c r="B44">
        <f t="shared" si="1"/>
        <v>1.4</v>
      </c>
      <c r="C44" s="12">
        <f>C43-M43*Q_gw/$B$16*dt</f>
        <v>403.86043828507218</v>
      </c>
      <c r="D44" s="12">
        <f>D43-N43*Q_gw/$B$17*dt</f>
        <v>741.01303934866189</v>
      </c>
      <c r="E44" s="12">
        <f>E43-O43*Q_gw/$B$18*dt</f>
        <v>6615.7161787759242</v>
      </c>
      <c r="F44" s="12">
        <f t="shared" si="6"/>
        <v>7760.5896564096583</v>
      </c>
      <c r="G44" s="12">
        <f t="shared" si="7"/>
        <v>5.2039916574060076E-2</v>
      </c>
      <c r="H44" s="12">
        <f t="shared" si="8"/>
        <v>9.5484115531948188E-2</v>
      </c>
      <c r="I44" s="12">
        <f t="shared" si="9"/>
        <v>0.85247596789399172</v>
      </c>
      <c r="J44" s="12">
        <f t="shared" si="10"/>
        <v>92.110652336086332</v>
      </c>
      <c r="K44" s="12">
        <f t="shared" si="11"/>
        <v>50.606581231932537</v>
      </c>
      <c r="L44" s="12">
        <f t="shared" si="12"/>
        <v>8.5247596789399172</v>
      </c>
      <c r="M44" s="12">
        <f t="shared" si="13"/>
        <v>92.110652336086332</v>
      </c>
      <c r="N44" s="12">
        <f t="shared" si="14"/>
        <v>50.606581231932537</v>
      </c>
      <c r="O44" s="12">
        <f t="shared" si="15"/>
        <v>8.5247596789399172</v>
      </c>
    </row>
    <row r="45" spans="1:15" x14ac:dyDescent="0.25">
      <c r="A45">
        <f>A44+dt</f>
        <v>547.86</v>
      </c>
      <c r="B45">
        <f t="shared" si="1"/>
        <v>1.5</v>
      </c>
      <c r="C45" s="12">
        <f>C44-M44*Q_gw/$B$16*dt</f>
        <v>394.55598393629606</v>
      </c>
      <c r="D45" s="12">
        <f>D44-N44*Q_gw/$B$17*dt</f>
        <v>736.67813564671121</v>
      </c>
      <c r="E45" s="12">
        <f>E44-O44*Q_gw/$B$18*dt</f>
        <v>6615.0436447992952</v>
      </c>
      <c r="F45" s="12">
        <f t="shared" si="6"/>
        <v>7746.2777643823028</v>
      </c>
      <c r="G45" s="12">
        <f t="shared" si="7"/>
        <v>5.0934912991434461E-2</v>
      </c>
      <c r="H45" s="12">
        <f t="shared" si="8"/>
        <v>9.5100919183919136E-2</v>
      </c>
      <c r="I45" s="12">
        <f t="shared" si="9"/>
        <v>0.85396416782464635</v>
      </c>
      <c r="J45" s="12">
        <f t="shared" si="10"/>
        <v>90.154795994838992</v>
      </c>
      <c r="K45" s="12">
        <f t="shared" si="11"/>
        <v>50.403487167477145</v>
      </c>
      <c r="L45" s="12">
        <f t="shared" si="12"/>
        <v>8.539641678246463</v>
      </c>
      <c r="M45" s="12">
        <f t="shared" si="13"/>
        <v>90.154795994838992</v>
      </c>
      <c r="N45" s="12">
        <f t="shared" si="14"/>
        <v>50.403487167477145</v>
      </c>
      <c r="O45" s="12">
        <f t="shared" si="15"/>
        <v>8.539641678246463</v>
      </c>
    </row>
    <row r="46" spans="1:15" x14ac:dyDescent="0.25">
      <c r="A46">
        <f>A45+dt</f>
        <v>584.38400000000001</v>
      </c>
      <c r="B46">
        <f t="shared" si="1"/>
        <v>1.6</v>
      </c>
      <c r="C46" s="12">
        <f>C45-M45*Q_gw/$B$16*dt</f>
        <v>385.44909822457072</v>
      </c>
      <c r="D46" s="12">
        <f>D45-N45*Q_gw/$B$17*dt</f>
        <v>732.36062875739674</v>
      </c>
      <c r="E46" s="12">
        <f>E45-O45*Q_gw/$B$18*dt</f>
        <v>6614.3699367543577</v>
      </c>
      <c r="F46" s="12">
        <f t="shared" si="6"/>
        <v>7732.179663736325</v>
      </c>
      <c r="G46" s="12">
        <f t="shared" si="7"/>
        <v>4.9849992497240418E-2</v>
      </c>
      <c r="H46" s="12">
        <f t="shared" si="8"/>
        <v>9.4715935299866952E-2</v>
      </c>
      <c r="I46" s="12">
        <f t="shared" si="9"/>
        <v>0.85543407220289269</v>
      </c>
      <c r="J46" s="12">
        <f t="shared" si="10"/>
        <v>88.234486720115541</v>
      </c>
      <c r="K46" s="12">
        <f t="shared" si="11"/>
        <v>50.199445708929481</v>
      </c>
      <c r="L46" s="12">
        <f t="shared" si="12"/>
        <v>8.5543407220289271</v>
      </c>
      <c r="M46" s="12">
        <f t="shared" si="13"/>
        <v>88.234486720115541</v>
      </c>
      <c r="N46" s="12">
        <f t="shared" si="14"/>
        <v>50.199445708929481</v>
      </c>
      <c r="O46" s="12">
        <f t="shared" si="15"/>
        <v>8.5543407220289271</v>
      </c>
    </row>
    <row r="47" spans="1:15" x14ac:dyDescent="0.25">
      <c r="A47">
        <f>A46+dt</f>
        <v>620.90800000000002</v>
      </c>
      <c r="B47">
        <f t="shared" si="1"/>
        <v>1.7</v>
      </c>
      <c r="C47" s="12">
        <f>C46-M46*Q_gw/$B$16*dt</f>
        <v>376.53619040279671</v>
      </c>
      <c r="D47" s="12">
        <f>D46-N46*Q_gw/$B$17*dt</f>
        <v>728.06059983344721</v>
      </c>
      <c r="E47" s="12">
        <f>E46-O46*Q_gw/$B$18*dt</f>
        <v>6613.6950690748099</v>
      </c>
      <c r="F47" s="12">
        <f t="shared" si="6"/>
        <v>7718.2918593110535</v>
      </c>
      <c r="G47" s="12">
        <f t="shared" si="7"/>
        <v>4.8784912162729087E-2</v>
      </c>
      <c r="H47" s="12">
        <f t="shared" si="8"/>
        <v>9.4329239306381318E-2</v>
      </c>
      <c r="I47" s="12">
        <f t="shared" si="9"/>
        <v>0.85688584853088967</v>
      </c>
      <c r="J47" s="12">
        <f t="shared" si="10"/>
        <v>86.349294528030484</v>
      </c>
      <c r="K47" s="12">
        <f t="shared" si="11"/>
        <v>49.994496832382097</v>
      </c>
      <c r="L47" s="12">
        <f t="shared" si="12"/>
        <v>8.5688584853088976</v>
      </c>
      <c r="M47" s="12">
        <f t="shared" si="13"/>
        <v>86.349294528030484</v>
      </c>
      <c r="N47" s="12">
        <f t="shared" si="14"/>
        <v>49.994496832382097</v>
      </c>
      <c r="O47" s="12">
        <f t="shared" si="15"/>
        <v>8.5688584853088976</v>
      </c>
    </row>
    <row r="48" spans="1:15" x14ac:dyDescent="0.25">
      <c r="A48">
        <f>A47+dt</f>
        <v>657.43200000000002</v>
      </c>
      <c r="B48">
        <f t="shared" si="1"/>
        <v>1.8</v>
      </c>
      <c r="C48" s="12">
        <f>C47-M47*Q_gw/$B$16*dt</f>
        <v>367.81371315821508</v>
      </c>
      <c r="D48" s="12">
        <f>D47-N47*Q_gw/$B$17*dt</f>
        <v>723.77812660328345</v>
      </c>
      <c r="E48" s="12">
        <f>E47-O47*Q_gw/$B$18*dt</f>
        <v>6613.0190560622041</v>
      </c>
      <c r="F48" s="12">
        <f t="shared" si="6"/>
        <v>7704.6108958237028</v>
      </c>
      <c r="G48" s="12">
        <f t="shared" si="7"/>
        <v>4.7739427484597453E-2</v>
      </c>
      <c r="H48" s="12">
        <f t="shared" si="8"/>
        <v>9.3940905827652965E-2</v>
      </c>
      <c r="I48" s="12">
        <f t="shared" si="9"/>
        <v>0.85831966668774951</v>
      </c>
      <c r="J48" s="12">
        <f t="shared" si="10"/>
        <v>84.498786647737489</v>
      </c>
      <c r="K48" s="12">
        <f t="shared" si="11"/>
        <v>49.788680088656072</v>
      </c>
      <c r="L48" s="12">
        <f t="shared" si="12"/>
        <v>8.5831966668774946</v>
      </c>
      <c r="M48" s="12">
        <f t="shared" si="13"/>
        <v>84.498786647737489</v>
      </c>
      <c r="N48" s="12">
        <f t="shared" si="14"/>
        <v>49.788680088656072</v>
      </c>
      <c r="O48" s="12">
        <f t="shared" si="15"/>
        <v>8.5831966668774946</v>
      </c>
    </row>
    <row r="49" spans="1:15" x14ac:dyDescent="0.25">
      <c r="A49">
        <f>A48+dt</f>
        <v>693.95600000000002</v>
      </c>
      <c r="B49">
        <f t="shared" si="1"/>
        <v>1.9</v>
      </c>
      <c r="C49" s="12">
        <f>C48-M48*Q_gw/$B$16*dt</f>
        <v>359.27816289392899</v>
      </c>
      <c r="D49" s="12">
        <f>D48-N48*Q_gw/$B$17*dt</f>
        <v>719.51328340744692</v>
      </c>
      <c r="E49" s="12">
        <f>E48-O48*Q_gw/$B$18*dt</f>
        <v>6612.341911884072</v>
      </c>
      <c r="F49" s="12">
        <f t="shared" si="6"/>
        <v>7691.1333581854478</v>
      </c>
      <c r="G49" s="12">
        <f t="shared" si="7"/>
        <v>4.6713292587959067E-2</v>
      </c>
      <c r="H49" s="12">
        <f t="shared" si="8"/>
        <v>9.3551008661381482E-2</v>
      </c>
      <c r="I49" s="12">
        <f t="shared" si="9"/>
        <v>0.85973569875065947</v>
      </c>
      <c r="J49" s="12">
        <f t="shared" si="10"/>
        <v>82.682527880687545</v>
      </c>
      <c r="K49" s="12">
        <f t="shared" si="11"/>
        <v>49.582034590532189</v>
      </c>
      <c r="L49" s="12">
        <f t="shared" si="12"/>
        <v>8.5973569875065952</v>
      </c>
      <c r="M49" s="12">
        <f t="shared" si="13"/>
        <v>82.682527880687545</v>
      </c>
      <c r="N49" s="12">
        <f t="shared" si="14"/>
        <v>49.582034590532189</v>
      </c>
      <c r="O49" s="12">
        <f t="shared" si="15"/>
        <v>8.5973569875065952</v>
      </c>
    </row>
    <row r="50" spans="1:15" x14ac:dyDescent="0.25">
      <c r="A50">
        <f>A49+dt</f>
        <v>730.48</v>
      </c>
      <c r="B50">
        <f t="shared" si="1"/>
        <v>2</v>
      </c>
      <c r="C50" s="12">
        <f>C49-M49*Q_gw/$B$16*dt</f>
        <v>350.92607997413546</v>
      </c>
      <c r="D50" s="12">
        <f>D49-N49*Q_gw/$B$17*dt</f>
        <v>715.26614123612148</v>
      </c>
      <c r="E50" s="12">
        <f>E49-O49*Q_gw/$B$18*dt</f>
        <v>6611.6636505721908</v>
      </c>
      <c r="F50" s="12">
        <f t="shared" si="6"/>
        <v>7677.855871782448</v>
      </c>
      <c r="G50" s="12">
        <f t="shared" si="7"/>
        <v>4.5706260424066336E-2</v>
      </c>
      <c r="H50" s="12">
        <f t="shared" si="8"/>
        <v>9.3159620756213715E-2</v>
      </c>
      <c r="I50" s="12">
        <f t="shared" si="9"/>
        <v>0.86113411881971991</v>
      </c>
      <c r="J50" s="12">
        <f t="shared" si="10"/>
        <v>80.900080950597413</v>
      </c>
      <c r="K50" s="12">
        <f t="shared" si="11"/>
        <v>49.374599000793268</v>
      </c>
      <c r="L50" s="12">
        <f t="shared" si="12"/>
        <v>8.6113411881971995</v>
      </c>
      <c r="M50" s="12">
        <f t="shared" si="13"/>
        <v>80.900080950597413</v>
      </c>
      <c r="N50" s="12">
        <f t="shared" si="14"/>
        <v>49.374599000793268</v>
      </c>
      <c r="O50" s="12">
        <f t="shared" si="15"/>
        <v>8.6113411881971995</v>
      </c>
    </row>
    <row r="51" spans="1:15" x14ac:dyDescent="0.25">
      <c r="A51">
        <f>A50+dt</f>
        <v>767.00400000000002</v>
      </c>
      <c r="B51">
        <f t="shared" si="1"/>
        <v>2.1</v>
      </c>
      <c r="C51" s="12">
        <f>C50-M50*Q_gw/$B$16*dt</f>
        <v>342.75404893400543</v>
      </c>
      <c r="D51" s="12">
        <f>D50-N50*Q_gw/$B$17*dt</f>
        <v>711.03676776767986</v>
      </c>
      <c r="E51" s="12">
        <f>E50-O50*Q_gw/$B$18*dt</f>
        <v>6610.9842860209865</v>
      </c>
      <c r="F51" s="12">
        <f t="shared" si="6"/>
        <v>7664.7751027226714</v>
      </c>
      <c r="G51" s="12">
        <f t="shared" si="7"/>
        <v>4.4718082962702035E-2</v>
      </c>
      <c r="H51" s="12">
        <f t="shared" si="8"/>
        <v>9.2766814190687247E-2</v>
      </c>
      <c r="I51" s="12">
        <f t="shared" si="9"/>
        <v>0.86251510284661081</v>
      </c>
      <c r="J51" s="12">
        <f t="shared" si="10"/>
        <v>79.1510068439826</v>
      </c>
      <c r="K51" s="12">
        <f t="shared" si="11"/>
        <v>49.166411521064241</v>
      </c>
      <c r="L51" s="12">
        <f t="shared" si="12"/>
        <v>8.6251510284661084</v>
      </c>
      <c r="M51" s="12">
        <f t="shared" si="13"/>
        <v>79.1510068439826</v>
      </c>
      <c r="N51" s="12">
        <f t="shared" si="14"/>
        <v>49.166411521064241</v>
      </c>
      <c r="O51" s="12">
        <f t="shared" si="15"/>
        <v>8.6251510284661084</v>
      </c>
    </row>
    <row r="52" spans="1:15" x14ac:dyDescent="0.25">
      <c r="A52">
        <f>A51+dt</f>
        <v>803.52800000000002</v>
      </c>
      <c r="B52">
        <f t="shared" si="1"/>
        <v>2.2000000000000002</v>
      </c>
      <c r="C52" s="12">
        <f>C51-M51*Q_gw/$B$16*dt</f>
        <v>334.75869865516501</v>
      </c>
      <c r="D52" s="12">
        <f>D51-N51*Q_gw/$B$17*dt</f>
        <v>706.82522740818592</v>
      </c>
      <c r="E52" s="12">
        <f>E51-O51*Q_gw/$B$18*dt</f>
        <v>6610.3038319860725</v>
      </c>
      <c r="F52" s="12">
        <f t="shared" si="6"/>
        <v>7651.8877580494236</v>
      </c>
      <c r="G52" s="12">
        <f t="shared" si="7"/>
        <v>4.3748511379171066E-2</v>
      </c>
      <c r="H52" s="12">
        <f t="shared" si="8"/>
        <v>9.2372660153651531E-2</v>
      </c>
      <c r="I52" s="12">
        <f t="shared" si="9"/>
        <v>0.86387882846717734</v>
      </c>
      <c r="J52" s="12">
        <f t="shared" si="10"/>
        <v>77.434865141132789</v>
      </c>
      <c r="K52" s="12">
        <f t="shared" si="11"/>
        <v>48.957509881435314</v>
      </c>
      <c r="L52" s="12">
        <f t="shared" si="12"/>
        <v>8.6387882846717741</v>
      </c>
      <c r="M52" s="12">
        <f t="shared" si="13"/>
        <v>77.434865141132789</v>
      </c>
      <c r="N52" s="12">
        <f t="shared" si="14"/>
        <v>48.957509881435314</v>
      </c>
      <c r="O52" s="12">
        <f t="shared" si="15"/>
        <v>8.6387882846717741</v>
      </c>
    </row>
    <row r="53" spans="1:15" x14ac:dyDescent="0.25">
      <c r="A53">
        <f>A52+dt</f>
        <v>840.05200000000002</v>
      </c>
      <c r="B53">
        <f t="shared" si="1"/>
        <v>2.2999999999999998</v>
      </c>
      <c r="C53" s="12">
        <f>C52-M52*Q_gw/$B$16*dt</f>
        <v>326.93670250774397</v>
      </c>
      <c r="D53" s="12">
        <f>D52-N52*Q_gw/$B$17*dt</f>
        <v>702.6315813317857</v>
      </c>
      <c r="E53" s="12">
        <f>E52-O52*Q_gw/$B$18*dt</f>
        <v>6609.6223020829248</v>
      </c>
      <c r="F53" s="12">
        <f t="shared" si="6"/>
        <v>7639.1905859224544</v>
      </c>
      <c r="G53" s="12">
        <f t="shared" si="7"/>
        <v>4.2797296235837452E-2</v>
      </c>
      <c r="H53" s="12">
        <f t="shared" si="8"/>
        <v>9.1977228926137716E-2</v>
      </c>
      <c r="I53" s="12">
        <f t="shared" si="9"/>
        <v>0.86522547483802481</v>
      </c>
      <c r="J53" s="12">
        <f t="shared" si="10"/>
        <v>75.751214337432287</v>
      </c>
      <c r="K53" s="12">
        <f t="shared" si="11"/>
        <v>48.747931330852992</v>
      </c>
      <c r="L53" s="12">
        <f t="shared" si="12"/>
        <v>8.6522547483802477</v>
      </c>
      <c r="M53" s="12">
        <f t="shared" si="13"/>
        <v>75.751214337432287</v>
      </c>
      <c r="N53" s="12">
        <f t="shared" si="14"/>
        <v>48.747931330852992</v>
      </c>
      <c r="O53" s="12">
        <f t="shared" si="15"/>
        <v>8.6522547483802477</v>
      </c>
    </row>
    <row r="54" spans="1:15" x14ac:dyDescent="0.25">
      <c r="A54">
        <f>A53+dt</f>
        <v>876.57600000000002</v>
      </c>
      <c r="B54">
        <f t="shared" si="1"/>
        <v>2.4</v>
      </c>
      <c r="C54" s="12">
        <f>C53-M53*Q_gw/$B$16*dt</f>
        <v>319.28477845996622</v>
      </c>
      <c r="D54" s="12">
        <f>D53-N53*Q_gw/$B$17*dt</f>
        <v>698.4558875219218</v>
      </c>
      <c r="E54" s="12">
        <f>E53-O53*Q_gw/$B$18*dt</f>
        <v>6608.9397097856763</v>
      </c>
      <c r="F54" s="12">
        <f t="shared" si="6"/>
        <v>7626.6803757675643</v>
      </c>
      <c r="G54" s="12">
        <f t="shared" si="7"/>
        <v>4.18641876581635E-2</v>
      </c>
      <c r="H54" s="12">
        <f t="shared" si="8"/>
        <v>9.158058986464708E-2</v>
      </c>
      <c r="I54" s="12">
        <f t="shared" si="9"/>
        <v>0.86655522247718941</v>
      </c>
      <c r="J54" s="12">
        <f t="shared" si="10"/>
        <v>74.099612154949398</v>
      </c>
      <c r="K54" s="12">
        <f t="shared" si="11"/>
        <v>48.537712628262952</v>
      </c>
      <c r="L54" s="12">
        <f t="shared" si="12"/>
        <v>8.6655522247718935</v>
      </c>
      <c r="M54" s="12">
        <f t="shared" si="13"/>
        <v>74.099612154949398</v>
      </c>
      <c r="N54" s="12">
        <f t="shared" si="14"/>
        <v>48.537712628262952</v>
      </c>
      <c r="O54" s="12">
        <f t="shared" si="15"/>
        <v>8.6655522247718935</v>
      </c>
    </row>
    <row r="55" spans="1:15" x14ac:dyDescent="0.25">
      <c r="A55">
        <f>A54+dt</f>
        <v>913.1</v>
      </c>
      <c r="B55">
        <f t="shared" si="1"/>
        <v>2.5</v>
      </c>
      <c r="C55" s="12">
        <f>C54-M54*Q_gw/$B$16*dt</f>
        <v>311.7996891562654</v>
      </c>
      <c r="D55" s="12">
        <f>D54-N54*Q_gw/$B$17*dt</f>
        <v>694.29820081330627</v>
      </c>
      <c r="E55" s="12">
        <f>E54-O54*Q_gw/$B$18*dt</f>
        <v>6608.2560684260479</v>
      </c>
      <c r="F55" s="12">
        <f t="shared" si="6"/>
        <v>7614.3539583956199</v>
      </c>
      <c r="G55" s="12">
        <f t="shared" si="7"/>
        <v>4.0948935505220857E-2</v>
      </c>
      <c r="H55" s="12">
        <f t="shared" si="8"/>
        <v>9.118281138582611E-2</v>
      </c>
      <c r="I55" s="12">
        <f t="shared" si="9"/>
        <v>0.86786825310895299</v>
      </c>
      <c r="J55" s="12">
        <f t="shared" si="10"/>
        <v>72.479615844240911</v>
      </c>
      <c r="K55" s="12">
        <f t="shared" si="11"/>
        <v>48.326890034487839</v>
      </c>
      <c r="L55" s="12">
        <f t="shared" si="12"/>
        <v>8.6786825310895299</v>
      </c>
      <c r="M55" s="12">
        <f t="shared" si="13"/>
        <v>72.479615844240911</v>
      </c>
      <c r="N55" s="12">
        <f t="shared" si="14"/>
        <v>48.326890034487839</v>
      </c>
      <c r="O55" s="12">
        <f t="shared" si="15"/>
        <v>8.6786825310895299</v>
      </c>
    </row>
    <row r="56" spans="1:15" x14ac:dyDescent="0.25">
      <c r="A56">
        <f>A55+dt</f>
        <v>949.62400000000002</v>
      </c>
      <c r="B56">
        <f t="shared" si="1"/>
        <v>2.6</v>
      </c>
      <c r="C56" s="12">
        <f>C55-M55*Q_gw/$B$16*dt</f>
        <v>304.47824196491416</v>
      </c>
      <c r="D56" s="12">
        <f>D55-N55*Q_gw/$B$17*dt</f>
        <v>690.15857293458919</v>
      </c>
      <c r="E56" s="12">
        <f>E55-O55*Q_gw/$B$18*dt</f>
        <v>6607.571391192394</v>
      </c>
      <c r="F56" s="12">
        <f t="shared" si="6"/>
        <v>7602.2082060918974</v>
      </c>
      <c r="G56" s="12">
        <f t="shared" si="7"/>
        <v>4.0051289534654658E-2</v>
      </c>
      <c r="H56" s="12">
        <f t="shared" si="8"/>
        <v>9.0783960952495704E-2</v>
      </c>
      <c r="I56" s="12">
        <f t="shared" si="9"/>
        <v>0.86916474951284961</v>
      </c>
      <c r="J56" s="12">
        <f t="shared" si="10"/>
        <v>70.890782476338742</v>
      </c>
      <c r="K56" s="12">
        <f t="shared" si="11"/>
        <v>48.11549930482272</v>
      </c>
      <c r="L56" s="12">
        <f t="shared" si="12"/>
        <v>8.6916474951284961</v>
      </c>
      <c r="M56" s="12">
        <f t="shared" si="13"/>
        <v>70.890782476338742</v>
      </c>
      <c r="N56" s="12">
        <f t="shared" si="14"/>
        <v>48.11549930482272</v>
      </c>
      <c r="O56" s="12">
        <f t="shared" si="15"/>
        <v>8.6916474951284961</v>
      </c>
    </row>
    <row r="57" spans="1:15" x14ac:dyDescent="0.25">
      <c r="A57">
        <f>A56+dt</f>
        <v>986.14800000000002</v>
      </c>
      <c r="B57">
        <f t="shared" si="1"/>
        <v>2.7</v>
      </c>
      <c r="C57" s="12">
        <f>C56-M56*Q_gw/$B$16*dt</f>
        <v>297.31728899615854</v>
      </c>
      <c r="D57" s="12">
        <f>D56-N56*Q_gw/$B$17*dt</f>
        <v>686.03705255166176</v>
      </c>
      <c r="E57" s="12">
        <f>E56-O56*Q_gw/$B$18*dt</f>
        <v>6606.8856911288722</v>
      </c>
      <c r="F57" s="12">
        <f t="shared" si="6"/>
        <v>7590.2400326766929</v>
      </c>
      <c r="G57" s="12">
        <f t="shared" si="7"/>
        <v>3.9170999562092877E-2</v>
      </c>
      <c r="H57" s="12">
        <f t="shared" si="8"/>
        <v>9.0384105061000461E-2</v>
      </c>
      <c r="I57" s="12">
        <f t="shared" si="9"/>
        <v>0.87044489537690661</v>
      </c>
      <c r="J57" s="12">
        <f t="shared" si="10"/>
        <v>69.332669224904393</v>
      </c>
      <c r="K57" s="12">
        <f t="shared" si="11"/>
        <v>47.903575682330242</v>
      </c>
      <c r="L57" s="12">
        <f t="shared" si="12"/>
        <v>8.7044489537690666</v>
      </c>
      <c r="M57" s="12">
        <f t="shared" si="13"/>
        <v>69.332669224904393</v>
      </c>
      <c r="N57" s="12">
        <f t="shared" si="14"/>
        <v>47.903575682330242</v>
      </c>
      <c r="O57" s="12">
        <f t="shared" si="15"/>
        <v>8.7044489537690666</v>
      </c>
    </row>
    <row r="58" spans="1:15" x14ac:dyDescent="0.25">
      <c r="A58">
        <f>A57+dt</f>
        <v>1022.672</v>
      </c>
      <c r="B58">
        <f t="shared" si="1"/>
        <v>2.8</v>
      </c>
      <c r="C58" s="12">
        <f>C57-M57*Q_gw/$B$16*dt</f>
        <v>290.31372709185115</v>
      </c>
      <c r="D58" s="12">
        <f>D57-N57*Q_gw/$B$17*dt</f>
        <v>681.93368531153328</v>
      </c>
      <c r="E58" s="12">
        <f>E57-O57*Q_gw/$B$18*dt</f>
        <v>6606.198981134723</v>
      </c>
      <c r="F58" s="12">
        <f t="shared" si="6"/>
        <v>7578.4463935381073</v>
      </c>
      <c r="G58" s="12">
        <f t="shared" si="7"/>
        <v>3.8307815615004168E-2</v>
      </c>
      <c r="H58" s="12">
        <f t="shared" si="8"/>
        <v>8.9983309229843697E-2</v>
      </c>
      <c r="I58" s="12">
        <f t="shared" si="9"/>
        <v>0.87170887515515216</v>
      </c>
      <c r="J58" s="12">
        <f t="shared" si="10"/>
        <v>67.804833638557383</v>
      </c>
      <c r="K58" s="12">
        <f t="shared" si="11"/>
        <v>47.691153891817159</v>
      </c>
      <c r="L58" s="12">
        <f t="shared" si="12"/>
        <v>8.7170887515515219</v>
      </c>
      <c r="M58" s="12">
        <f t="shared" si="13"/>
        <v>67.804833638557383</v>
      </c>
      <c r="N58" s="12">
        <f t="shared" si="14"/>
        <v>47.691153891817159</v>
      </c>
      <c r="O58" s="12">
        <f t="shared" si="15"/>
        <v>8.7170887515515219</v>
      </c>
    </row>
    <row r="59" spans="1:15" x14ac:dyDescent="0.25">
      <c r="A59">
        <f>A58+dt</f>
        <v>1059.1959999999999</v>
      </c>
      <c r="B59">
        <f t="shared" si="1"/>
        <v>2.8999999999999995</v>
      </c>
      <c r="C59" s="12">
        <f>C58-M58*Q_gw/$B$16*dt</f>
        <v>283.464497787575</v>
      </c>
      <c r="D59" s="12">
        <f>D58-N58*Q_gw/$B$17*dt</f>
        <v>677.84851388672485</v>
      </c>
      <c r="E59" s="12">
        <f>E58-O58*Q_gw/$B$18*dt</f>
        <v>6605.5112739636697</v>
      </c>
      <c r="F59" s="12">
        <f t="shared" si="6"/>
        <v>7566.8242856379693</v>
      </c>
      <c r="G59" s="12">
        <f t="shared" si="7"/>
        <v>3.7461488081016764E-2</v>
      </c>
      <c r="H59" s="12">
        <f t="shared" si="8"/>
        <v>8.9581637989572332E-2</v>
      </c>
      <c r="I59" s="12">
        <f t="shared" si="9"/>
        <v>0.8729568739294109</v>
      </c>
      <c r="J59" s="12">
        <f t="shared" si="10"/>
        <v>66.306833903399678</v>
      </c>
      <c r="K59" s="12">
        <f t="shared" si="11"/>
        <v>47.478268134473339</v>
      </c>
      <c r="L59" s="12">
        <f t="shared" si="12"/>
        <v>8.729568739294109</v>
      </c>
      <c r="M59" s="12">
        <f t="shared" si="13"/>
        <v>66.306833903399678</v>
      </c>
      <c r="N59" s="12">
        <f t="shared" si="14"/>
        <v>47.478268134473339</v>
      </c>
      <c r="O59" s="12">
        <f t="shared" si="15"/>
        <v>8.729568739294109</v>
      </c>
    </row>
    <row r="60" spans="1:15" x14ac:dyDescent="0.25">
      <c r="A60">
        <f>A59+dt</f>
        <v>1095.7199999999998</v>
      </c>
      <c r="B60">
        <f t="shared" si="1"/>
        <v>2.9999999999999996</v>
      </c>
      <c r="C60" s="12">
        <f>C59-M59*Q_gw/$B$16*dt</f>
        <v>276.76658724824904</v>
      </c>
      <c r="D60" s="12">
        <f>D59-N59*Q_gw/$B$17*dt</f>
        <v>673.78157802012117</v>
      </c>
      <c r="E60" s="12">
        <f>E59-O59*Q_gw/$B$18*dt</f>
        <v>6604.8225822234208</v>
      </c>
      <c r="F60" s="12">
        <f t="shared" si="6"/>
        <v>7555.370747491791</v>
      </c>
      <c r="G60" s="12">
        <f t="shared" si="7"/>
        <v>3.6631767850721177E-2</v>
      </c>
      <c r="H60" s="12">
        <f t="shared" si="8"/>
        <v>8.9179154873875802E-2</v>
      </c>
      <c r="I60" s="12">
        <f t="shared" si="9"/>
        <v>0.87418907727540307</v>
      </c>
      <c r="J60" s="12">
        <f t="shared" si="10"/>
        <v>64.838229095776484</v>
      </c>
      <c r="K60" s="12">
        <f t="shared" si="11"/>
        <v>47.264952083154178</v>
      </c>
      <c r="L60" s="12">
        <f t="shared" si="12"/>
        <v>8.7418907727540311</v>
      </c>
      <c r="M60" s="12">
        <f t="shared" si="13"/>
        <v>64.838229095776484</v>
      </c>
      <c r="N60" s="12">
        <f t="shared" si="14"/>
        <v>47.264952083154178</v>
      </c>
      <c r="O60" s="12">
        <f t="shared" si="15"/>
        <v>8.7418907727540311</v>
      </c>
    </row>
    <row r="61" spans="1:15" x14ac:dyDescent="0.25">
      <c r="A61">
        <f>A60+dt</f>
        <v>1132.2439999999997</v>
      </c>
      <c r="B61">
        <f t="shared" si="1"/>
        <v>3.0999999999999992</v>
      </c>
      <c r="C61" s="12">
        <f>C60-M60*Q_gw/$B$16*dt</f>
        <v>270.21702617820119</v>
      </c>
      <c r="D61" s="12">
        <f>D60-N60*Q_gw/$B$17*dt</f>
        <v>669.73291457022776</v>
      </c>
      <c r="E61" s="12">
        <f>E60-O60*Q_gw/$B$18*dt</f>
        <v>6604.1329183752796</v>
      </c>
      <c r="F61" s="12">
        <f t="shared" si="6"/>
        <v>7544.0828591237087</v>
      </c>
      <c r="G61" s="12">
        <f t="shared" si="7"/>
        <v>3.581840645498803E-2</v>
      </c>
      <c r="H61" s="12">
        <f t="shared" si="8"/>
        <v>8.877592241186244E-2</v>
      </c>
      <c r="I61" s="12">
        <f t="shared" si="9"/>
        <v>0.87540567113314949</v>
      </c>
      <c r="J61" s="12">
        <f t="shared" si="10"/>
        <v>63.398579425328812</v>
      </c>
      <c r="K61" s="12">
        <f t="shared" si="11"/>
        <v>47.051238878287094</v>
      </c>
      <c r="L61" s="12">
        <f t="shared" si="12"/>
        <v>8.7540567113314953</v>
      </c>
      <c r="M61" s="12">
        <f t="shared" si="13"/>
        <v>63.398579425328812</v>
      </c>
      <c r="N61" s="12">
        <f t="shared" si="14"/>
        <v>47.051238878287094</v>
      </c>
      <c r="O61" s="12">
        <f t="shared" si="15"/>
        <v>8.7540567113314953</v>
      </c>
    </row>
    <row r="62" spans="1:15" x14ac:dyDescent="0.25">
      <c r="A62">
        <f>A61+dt</f>
        <v>1168.7679999999996</v>
      </c>
      <c r="B62">
        <f t="shared" si="1"/>
        <v>3.1999999999999988</v>
      </c>
      <c r="C62" s="12">
        <f>C61-M61*Q_gw/$B$16*dt</f>
        <v>263.81288970668987</v>
      </c>
      <c r="D62" s="12">
        <f>D61-N61*Q_gw/$B$17*dt</f>
        <v>665.70255755677761</v>
      </c>
      <c r="E62" s="12">
        <f>E61-O61*Q_gw/$B$18*dt</f>
        <v>6603.442294733858</v>
      </c>
      <c r="F62" s="12">
        <f t="shared" si="6"/>
        <v>7532.9577419973257</v>
      </c>
      <c r="G62" s="12">
        <f t="shared" si="7"/>
        <v>3.5021156196840847E-2</v>
      </c>
      <c r="H62" s="12">
        <f t="shared" si="8"/>
        <v>8.8372002121476112E-2</v>
      </c>
      <c r="I62" s="12">
        <f t="shared" si="9"/>
        <v>0.87660684168168301</v>
      </c>
      <c r="J62" s="12">
        <f t="shared" si="10"/>
        <v>61.987446468408301</v>
      </c>
      <c r="K62" s="12">
        <f t="shared" si="11"/>
        <v>46.837161124382341</v>
      </c>
      <c r="L62" s="12">
        <f t="shared" si="12"/>
        <v>8.7660684168168306</v>
      </c>
      <c r="M62" s="12">
        <f t="shared" si="13"/>
        <v>61.987446468408301</v>
      </c>
      <c r="N62" s="12">
        <f t="shared" si="14"/>
        <v>46.837161124382341</v>
      </c>
      <c r="O62" s="12">
        <f t="shared" si="15"/>
        <v>8.7660684168168306</v>
      </c>
    </row>
    <row r="63" spans="1:15" x14ac:dyDescent="0.25">
      <c r="A63">
        <f>A62+dt</f>
        <v>1205.2919999999995</v>
      </c>
      <c r="B63">
        <f t="shared" si="1"/>
        <v>3.2999999999999985</v>
      </c>
      <c r="C63" s="12">
        <f>C62-M62*Q_gw/$B$16*dt</f>
        <v>257.55129724984704</v>
      </c>
      <c r="D63" s="12">
        <f>D62-N62*Q_gw/$B$17*dt</f>
        <v>661.6905382066376</v>
      </c>
      <c r="E63" s="12">
        <f>E62-O62*Q_gw/$B$18*dt</f>
        <v>6602.7507234668892</v>
      </c>
      <c r="F63" s="12">
        <f t="shared" si="6"/>
        <v>7521.9925589233735</v>
      </c>
      <c r="G63" s="12">
        <f t="shared" si="7"/>
        <v>3.4239770277931583E-2</v>
      </c>
      <c r="H63" s="12">
        <f t="shared" si="8"/>
        <v>8.7967454504015843E-2</v>
      </c>
      <c r="I63" s="12">
        <f t="shared" si="9"/>
        <v>0.87779277521805266</v>
      </c>
      <c r="J63" s="12">
        <f t="shared" si="10"/>
        <v>60.604393391938899</v>
      </c>
      <c r="K63" s="12">
        <f t="shared" si="11"/>
        <v>46.622750887128397</v>
      </c>
      <c r="L63" s="12">
        <f t="shared" si="12"/>
        <v>8.7779277521805259</v>
      </c>
      <c r="M63" s="12">
        <f t="shared" si="13"/>
        <v>60.604393391938899</v>
      </c>
      <c r="N63" s="12">
        <f t="shared" si="14"/>
        <v>46.622750887128397</v>
      </c>
      <c r="O63" s="12">
        <f t="shared" si="15"/>
        <v>8.7779277521805259</v>
      </c>
    </row>
    <row r="64" spans="1:15" x14ac:dyDescent="0.25">
      <c r="A64">
        <f>A63+dt</f>
        <v>1241.8159999999993</v>
      </c>
      <c r="B64">
        <f t="shared" si="1"/>
        <v>3.3999999999999981</v>
      </c>
      <c r="C64" s="12">
        <f>C63-M63*Q_gw/$B$16*dt</f>
        <v>251.4294123500085</v>
      </c>
      <c r="D64" s="12">
        <f>D63-N63*Q_gw/$B$17*dt</f>
        <v>657.69688499996312</v>
      </c>
      <c r="E64" s="12">
        <f>E63-O63*Q_gw/$B$18*dt</f>
        <v>6602.0582165951328</v>
      </c>
      <c r="F64" s="12">
        <f t="shared" si="6"/>
        <v>7511.1845139451043</v>
      </c>
      <c r="G64" s="12">
        <f t="shared" si="7"/>
        <v>3.3474002919673992E-2</v>
      </c>
      <c r="H64" s="12">
        <f t="shared" si="8"/>
        <v>8.7562339039720993E-2</v>
      </c>
      <c r="I64" s="12">
        <f t="shared" si="9"/>
        <v>0.87896365804060506</v>
      </c>
      <c r="J64" s="12">
        <f t="shared" si="10"/>
        <v>59.248985167822966</v>
      </c>
      <c r="K64" s="12">
        <f t="shared" si="11"/>
        <v>46.408039691052124</v>
      </c>
      <c r="L64" s="12">
        <f t="shared" si="12"/>
        <v>8.7896365804060501</v>
      </c>
      <c r="M64" s="12">
        <f t="shared" si="13"/>
        <v>59.248985167822966</v>
      </c>
      <c r="N64" s="12">
        <f t="shared" si="14"/>
        <v>46.408039691052124</v>
      </c>
      <c r="O64" s="12">
        <f t="shared" si="15"/>
        <v>8.7896365804060501</v>
      </c>
    </row>
    <row r="65" spans="1:15" x14ac:dyDescent="0.25">
      <c r="A65">
        <f>A64+dt</f>
        <v>1278.3399999999992</v>
      </c>
      <c r="B65">
        <f t="shared" si="1"/>
        <v>3.4999999999999978</v>
      </c>
      <c r="C65" s="12">
        <f>C64-M64*Q_gw/$B$16*dt</f>
        <v>245.44444249338588</v>
      </c>
      <c r="D65" s="12">
        <f>D64-N64*Q_gw/$B$17*dt</f>
        <v>653.72162371655361</v>
      </c>
      <c r="E65" s="12">
        <f>E64-O64*Q_gw/$B$18*dt</f>
        <v>6601.3647859923731</v>
      </c>
      <c r="F65" s="12">
        <f t="shared" si="6"/>
        <v>7500.5308522023124</v>
      </c>
      <c r="G65" s="12">
        <f t="shared" si="7"/>
        <v>3.2723609479096839E-2</v>
      </c>
      <c r="H65" s="12">
        <f t="shared" si="8"/>
        <v>8.7156714184384337E-2</v>
      </c>
      <c r="I65" s="12">
        <f t="shared" si="9"/>
        <v>0.88011967633651889</v>
      </c>
      <c r="J65" s="12">
        <f t="shared" si="10"/>
        <v>57.920788778001409</v>
      </c>
      <c r="K65" s="12">
        <f t="shared" si="11"/>
        <v>46.193058517723699</v>
      </c>
      <c r="L65" s="12">
        <f t="shared" si="12"/>
        <v>8.8011967633651889</v>
      </c>
      <c r="M65" s="12">
        <f t="shared" si="13"/>
        <v>57.920788778001409</v>
      </c>
      <c r="N65" s="12">
        <f t="shared" si="14"/>
        <v>46.193058517723699</v>
      </c>
      <c r="O65" s="12">
        <f t="shared" si="15"/>
        <v>8.8011967633651889</v>
      </c>
    </row>
    <row r="66" spans="1:15" x14ac:dyDescent="0.25">
      <c r="A66">
        <f>A65+dt</f>
        <v>1314.8639999999991</v>
      </c>
      <c r="B66">
        <f t="shared" si="1"/>
        <v>3.5999999999999974</v>
      </c>
      <c r="C66" s="12">
        <f>C65-M65*Q_gw/$B$16*dt</f>
        <v>239.59363890702494</v>
      </c>
      <c r="D66" s="12">
        <f>D65-N65*Q_gw/$B$17*dt</f>
        <v>649.76477748236152</v>
      </c>
      <c r="E66" s="12">
        <f>E65-O65*Q_gw/$B$18*dt</f>
        <v>6600.6704433855093</v>
      </c>
      <c r="F66" s="12">
        <f t="shared" si="6"/>
        <v>7490.0288597748959</v>
      </c>
      <c r="G66" s="12">
        <f t="shared" si="7"/>
        <v>3.1988346559485174E-2</v>
      </c>
      <c r="H66" s="12">
        <f t="shared" si="8"/>
        <v>8.6750637366955277E-2</v>
      </c>
      <c r="I66" s="12">
        <f t="shared" si="9"/>
        <v>0.88126101607355956</v>
      </c>
      <c r="J66" s="12">
        <f t="shared" si="10"/>
        <v>56.619373410288759</v>
      </c>
      <c r="K66" s="12">
        <f t="shared" si="11"/>
        <v>45.977837804486299</v>
      </c>
      <c r="L66" s="12">
        <f t="shared" si="12"/>
        <v>8.8126101607355949</v>
      </c>
      <c r="M66" s="12">
        <f t="shared" si="13"/>
        <v>56.619373410288759</v>
      </c>
      <c r="N66" s="12">
        <f t="shared" si="14"/>
        <v>45.977837804486299</v>
      </c>
      <c r="O66" s="12">
        <f t="shared" si="15"/>
        <v>8.8126101607355949</v>
      </c>
    </row>
    <row r="67" spans="1:15" x14ac:dyDescent="0.25">
      <c r="A67">
        <f>A66+dt</f>
        <v>1351.387999999999</v>
      </c>
      <c r="B67">
        <f t="shared" si="1"/>
        <v>3.6999999999999971</v>
      </c>
      <c r="C67" s="12">
        <f>C66-M66*Q_gw/$B$16*dt</f>
        <v>233.87429633598171</v>
      </c>
      <c r="D67" s="12">
        <f>D66-N66*Q_gw/$B$17*dt</f>
        <v>645.82636681611018</v>
      </c>
      <c r="E67" s="12">
        <f>E66-O66*Q_gw/$B$18*dt</f>
        <v>6599.9752003547264</v>
      </c>
      <c r="F67" s="12">
        <f t="shared" si="6"/>
        <v>7479.6758635068181</v>
      </c>
      <c r="G67" s="12">
        <f t="shared" si="7"/>
        <v>3.1267972115883995E-2</v>
      </c>
      <c r="H67" s="12">
        <f t="shared" si="8"/>
        <v>8.6344164988095745E-2</v>
      </c>
      <c r="I67" s="12">
        <f t="shared" si="9"/>
        <v>0.88238786289602034</v>
      </c>
      <c r="J67" s="12">
        <f t="shared" si="10"/>
        <v>55.344310645114668</v>
      </c>
      <c r="K67" s="12">
        <f t="shared" si="11"/>
        <v>45.762407443690748</v>
      </c>
      <c r="L67" s="12">
        <f t="shared" si="12"/>
        <v>8.8238786289602036</v>
      </c>
      <c r="M67" s="12">
        <f t="shared" si="13"/>
        <v>55.344310645114668</v>
      </c>
      <c r="N67" s="12">
        <f t="shared" si="14"/>
        <v>45.762407443690748</v>
      </c>
      <c r="O67" s="12">
        <f t="shared" si="15"/>
        <v>8.8238786289602036</v>
      </c>
    </row>
    <row r="68" spans="1:15" x14ac:dyDescent="0.25">
      <c r="A68">
        <f>A67+dt</f>
        <v>1387.9119999999989</v>
      </c>
      <c r="B68">
        <f t="shared" si="1"/>
        <v>3.7999999999999967</v>
      </c>
      <c r="C68" s="12">
        <f>C67-M67*Q_gw/$B$16*dt</f>
        <v>228.28375280163513</v>
      </c>
      <c r="D68" s="12">
        <f>D67-N67*Q_gw/$B$17*dt</f>
        <v>641.90640967597722</v>
      </c>
      <c r="E68" s="12">
        <f>E67-O67*Q_gw/$B$18*dt</f>
        <v>6599.2790683337507</v>
      </c>
      <c r="F68" s="12">
        <f t="shared" si="6"/>
        <v>7469.4692308113626</v>
      </c>
      <c r="G68" s="12">
        <f t="shared" si="7"/>
        <v>3.056224555554372E-2</v>
      </c>
      <c r="H68" s="12">
        <f t="shared" si="8"/>
        <v>8.5937352419651225E-2</v>
      </c>
      <c r="I68" s="12">
        <f t="shared" si="9"/>
        <v>0.88350040202480506</v>
      </c>
      <c r="J68" s="12">
        <f t="shared" si="10"/>
        <v>54.095174633312382</v>
      </c>
      <c r="K68" s="12">
        <f t="shared" si="11"/>
        <v>45.54679678241515</v>
      </c>
      <c r="L68" s="12">
        <f t="shared" si="12"/>
        <v>8.83500402024805</v>
      </c>
      <c r="M68" s="12">
        <f t="shared" si="13"/>
        <v>54.095174633312382</v>
      </c>
      <c r="N68" s="12">
        <f t="shared" si="14"/>
        <v>45.54679678241515</v>
      </c>
      <c r="O68" s="12">
        <f t="shared" si="15"/>
        <v>8.83500402024805</v>
      </c>
    </row>
    <row r="69" spans="1:15" x14ac:dyDescent="0.25">
      <c r="A69">
        <f>A68+dt</f>
        <v>1424.4359999999988</v>
      </c>
      <c r="B69">
        <f t="shared" si="1"/>
        <v>3.8999999999999964</v>
      </c>
      <c r="C69" s="12">
        <f>C68-M68*Q_gw/$B$16*dt</f>
        <v>222.81938934204058</v>
      </c>
      <c r="D69" s="12">
        <f>D68-N68*Q_gw/$B$17*dt</f>
        <v>638.00492150630203</v>
      </c>
      <c r="E69" s="12">
        <f>E68-O68*Q_gw/$B$18*dt</f>
        <v>6598.5820586101863</v>
      </c>
      <c r="F69" s="12">
        <f t="shared" si="6"/>
        <v>7459.4063694585293</v>
      </c>
      <c r="G69" s="12">
        <f t="shared" si="7"/>
        <v>2.9870927833392031E-2</v>
      </c>
      <c r="H69" s="12">
        <f t="shared" si="8"/>
        <v>8.5530254004999889E-2</v>
      </c>
      <c r="I69" s="12">
        <f t="shared" si="9"/>
        <v>0.88459881816160801</v>
      </c>
      <c r="J69" s="12">
        <f t="shared" si="10"/>
        <v>52.871542265103898</v>
      </c>
      <c r="K69" s="12">
        <f t="shared" si="11"/>
        <v>45.331034622649945</v>
      </c>
      <c r="L69" s="12">
        <f t="shared" si="12"/>
        <v>8.8459881816160806</v>
      </c>
      <c r="M69" s="12">
        <f t="shared" si="13"/>
        <v>52.871542265103898</v>
      </c>
      <c r="N69" s="12">
        <f t="shared" si="14"/>
        <v>45.331034622649945</v>
      </c>
      <c r="O69" s="12">
        <f t="shared" si="15"/>
        <v>8.8459881816160806</v>
      </c>
    </row>
    <row r="70" spans="1:15" x14ac:dyDescent="0.25">
      <c r="A70">
        <f>A69+dt</f>
        <v>1460.9599999999987</v>
      </c>
      <c r="B70">
        <f t="shared" si="1"/>
        <v>3.9999999999999964</v>
      </c>
      <c r="C70" s="12">
        <f>C69-M69*Q_gw/$B$16*dt</f>
        <v>217.47862973521367</v>
      </c>
      <c r="D70" s="12">
        <f>D69-N69*Q_gw/$B$17*dt</f>
        <v>634.12191528427752</v>
      </c>
      <c r="E70" s="12">
        <f>E69-O69*Q_gw/$B$18*dt</f>
        <v>6597.8841823259199</v>
      </c>
      <c r="F70" s="12">
        <f t="shared" si="6"/>
        <v>7449.4847273454106</v>
      </c>
      <c r="G70" s="12">
        <f t="shared" si="7"/>
        <v>2.9193781542621026E-2</v>
      </c>
      <c r="H70" s="12">
        <f t="shared" si="8"/>
        <v>8.5122923060242842E-2</v>
      </c>
      <c r="I70" s="12">
        <f t="shared" si="9"/>
        <v>0.88568329539713619</v>
      </c>
      <c r="J70" s="12">
        <f t="shared" si="10"/>
        <v>51.672993330439219</v>
      </c>
      <c r="K70" s="12">
        <f t="shared" si="11"/>
        <v>45.115149221928704</v>
      </c>
      <c r="L70" s="12">
        <f t="shared" si="12"/>
        <v>8.8568329539713613</v>
      </c>
      <c r="M70" s="12">
        <f t="shared" si="13"/>
        <v>51.672993330439219</v>
      </c>
      <c r="N70" s="12">
        <f t="shared" si="14"/>
        <v>45.115149221928704</v>
      </c>
      <c r="O70" s="12">
        <f t="shared" si="15"/>
        <v>8.8568329539713613</v>
      </c>
    </row>
    <row r="71" spans="1:15" x14ac:dyDescent="0.25">
      <c r="A71">
        <f>A70+dt</f>
        <v>1497.4839999999986</v>
      </c>
      <c r="B71">
        <f t="shared" si="1"/>
        <v>4.0999999999999961</v>
      </c>
      <c r="C71" s="12">
        <f>C70-M70*Q_gw/$B$16*dt</f>
        <v>212.2589402062174</v>
      </c>
      <c r="D71" s="12">
        <f>D70-N70*Q_gw/$B$17*dt</f>
        <v>630.25740156658753</v>
      </c>
      <c r="E71" s="12">
        <f>E70-O70*Q_gw/$B$18*dt</f>
        <v>6597.1854504776084</v>
      </c>
      <c r="F71" s="12">
        <f t="shared" si="6"/>
        <v>7439.7017922504128</v>
      </c>
      <c r="G71" s="12">
        <f t="shared" si="7"/>
        <v>2.8530571000482511E-2</v>
      </c>
      <c r="H71" s="12">
        <f t="shared" si="8"/>
        <v>8.4715411876198715E-2</v>
      </c>
      <c r="I71" s="12">
        <f t="shared" si="9"/>
        <v>0.88675401712331881</v>
      </c>
      <c r="J71" s="12">
        <f t="shared" si="10"/>
        <v>50.499110670854044</v>
      </c>
      <c r="K71" s="12">
        <f t="shared" si="11"/>
        <v>44.899168294385319</v>
      </c>
      <c r="L71" s="12">
        <f t="shared" si="12"/>
        <v>8.8675401712331876</v>
      </c>
      <c r="M71" s="12">
        <f t="shared" si="13"/>
        <v>50.499110670854044</v>
      </c>
      <c r="N71" s="12">
        <f t="shared" si="14"/>
        <v>44.899168294385319</v>
      </c>
      <c r="O71" s="12">
        <f t="shared" si="15"/>
        <v>8.8675401712331876</v>
      </c>
    </row>
    <row r="72" spans="1:15" x14ac:dyDescent="0.25">
      <c r="A72">
        <f>A71+dt</f>
        <v>1534.0079999999984</v>
      </c>
      <c r="B72">
        <f t="shared" si="1"/>
        <v>4.1999999999999957</v>
      </c>
      <c r="C72" s="12">
        <f>C71-M71*Q_gw/$B$16*dt</f>
        <v>207.15782911890972</v>
      </c>
      <c r="D72" s="12">
        <f>D71-N71*Q_gw/$B$17*dt</f>
        <v>626.41138853595373</v>
      </c>
      <c r="E72" s="12">
        <f>E71-O71*Q_gw/$B$18*dt</f>
        <v>6596.4858739172259</v>
      </c>
      <c r="F72" s="12">
        <f t="shared" si="6"/>
        <v>7430.0550915720896</v>
      </c>
      <c r="G72" s="12">
        <f t="shared" si="7"/>
        <v>2.788106232938822E-2</v>
      </c>
      <c r="H72" s="12">
        <f t="shared" si="8"/>
        <v>8.4307771721166921E-2</v>
      </c>
      <c r="I72" s="12">
        <f t="shared" si="9"/>
        <v>0.88781116594944487</v>
      </c>
      <c r="J72" s="12">
        <f t="shared" si="10"/>
        <v>49.349480323017147</v>
      </c>
      <c r="K72" s="12">
        <f t="shared" si="11"/>
        <v>44.683119012218469</v>
      </c>
      <c r="L72" s="12">
        <f t="shared" si="12"/>
        <v>8.8781116594944489</v>
      </c>
      <c r="M72" s="12">
        <f t="shared" si="13"/>
        <v>49.349480323017147</v>
      </c>
      <c r="N72" s="12">
        <f t="shared" si="14"/>
        <v>44.683119012218469</v>
      </c>
      <c r="O72" s="12">
        <f t="shared" si="15"/>
        <v>8.8781116594944489</v>
      </c>
    </row>
    <row r="73" spans="1:15" x14ac:dyDescent="0.25">
      <c r="A73">
        <f>A72+dt</f>
        <v>1570.5319999999983</v>
      </c>
      <c r="B73">
        <f t="shared" si="1"/>
        <v>4.2999999999999954</v>
      </c>
      <c r="C73" s="12">
        <f>C72-M72*Q_gw/$B$16*dt</f>
        <v>202.17284665319062</v>
      </c>
      <c r="D73" s="12">
        <f>D72-N72*Q_gw/$B$17*dt</f>
        <v>622.58388204755749</v>
      </c>
      <c r="E73" s="12">
        <f>E72-O72*Q_gw/$B$18*dt</f>
        <v>6595.7854633526831</v>
      </c>
      <c r="F73" s="12">
        <f t="shared" si="6"/>
        <v>7420.5421920534309</v>
      </c>
      <c r="G73" s="12">
        <f t="shared" si="7"/>
        <v>2.7245023533414455E-2</v>
      </c>
      <c r="H73" s="12">
        <f t="shared" si="8"/>
        <v>8.3900052844423562E-2</v>
      </c>
      <c r="I73" s="12">
        <f t="shared" si="9"/>
        <v>0.88885492362216201</v>
      </c>
      <c r="J73" s="12">
        <f t="shared" si="10"/>
        <v>48.223691654143586</v>
      </c>
      <c r="K73" s="12">
        <f t="shared" si="11"/>
        <v>44.467028007544485</v>
      </c>
      <c r="L73" s="12">
        <f t="shared" si="12"/>
        <v>8.8885492362216194</v>
      </c>
      <c r="M73" s="12">
        <f t="shared" si="13"/>
        <v>48.223691654143586</v>
      </c>
      <c r="N73" s="12">
        <f t="shared" si="14"/>
        <v>44.467028007544485</v>
      </c>
      <c r="O73" s="12">
        <f t="shared" si="15"/>
        <v>8.8885492362216194</v>
      </c>
    </row>
    <row r="74" spans="1:15" x14ac:dyDescent="0.25">
      <c r="A74">
        <f>A73+dt</f>
        <v>1607.0559999999982</v>
      </c>
      <c r="B74">
        <f t="shared" si="1"/>
        <v>4.399999999999995</v>
      </c>
      <c r="C74" s="12">
        <f>C73-M73*Q_gw/$B$16*dt</f>
        <v>197.30158446857087</v>
      </c>
      <c r="D74" s="12">
        <f>D73-N73*Q_gw/$B$17*dt</f>
        <v>618.7748856753027</v>
      </c>
      <c r="E74" s="12">
        <f>E73-O73*Q_gw/$B$18*dt</f>
        <v>6595.0842293485066</v>
      </c>
      <c r="F74" s="12">
        <f t="shared" si="6"/>
        <v>7411.1606994923804</v>
      </c>
      <c r="G74" s="12">
        <f t="shared" si="7"/>
        <v>2.6622224570313907E-2</v>
      </c>
      <c r="H74" s="12">
        <f t="shared" si="8"/>
        <v>8.3492304480414933E-2</v>
      </c>
      <c r="I74" s="12">
        <f t="shared" si="9"/>
        <v>0.88988547094927117</v>
      </c>
      <c r="J74" s="12">
        <f t="shared" si="10"/>
        <v>47.121337489455613</v>
      </c>
      <c r="K74" s="12">
        <f t="shared" si="11"/>
        <v>44.250921374619914</v>
      </c>
      <c r="L74" s="12">
        <f t="shared" si="12"/>
        <v>8.8988547094927117</v>
      </c>
      <c r="M74" s="12">
        <f t="shared" si="13"/>
        <v>47.121337489455613</v>
      </c>
      <c r="N74" s="12">
        <f t="shared" si="14"/>
        <v>44.250921374619914</v>
      </c>
      <c r="O74" s="12">
        <f t="shared" si="15"/>
        <v>8.8988547094927117</v>
      </c>
    </row>
    <row r="75" spans="1:15" x14ac:dyDescent="0.25">
      <c r="A75">
        <f>A74+dt</f>
        <v>1643.5799999999981</v>
      </c>
      <c r="B75">
        <f t="shared" si="1"/>
        <v>4.4999999999999947</v>
      </c>
      <c r="C75" s="12">
        <f>C74-M74*Q_gw/$B$16*dt</f>
        <v>192.54167535486519</v>
      </c>
      <c r="D75" s="12">
        <f>D74-N74*Q_gw/$B$17*dt</f>
        <v>614.98440075788778</v>
      </c>
      <c r="E75" s="12">
        <f>E74-O74*Q_gw/$B$18*dt</f>
        <v>6594.3821823265816</v>
      </c>
      <c r="F75" s="12">
        <f t="shared" si="6"/>
        <v>7401.9082584393345</v>
      </c>
      <c r="G75" s="12">
        <f t="shared" si="7"/>
        <v>2.6012437419139521E-2</v>
      </c>
      <c r="H75" s="12">
        <f t="shared" si="8"/>
        <v>8.3084574853614174E-2</v>
      </c>
      <c r="I75" s="12">
        <f t="shared" si="9"/>
        <v>0.8909029877272463</v>
      </c>
      <c r="J75" s="12">
        <f t="shared" si="10"/>
        <v>46.042014231876955</v>
      </c>
      <c r="K75" s="12">
        <f t="shared" si="11"/>
        <v>44.03482467241551</v>
      </c>
      <c r="L75" s="12">
        <f t="shared" si="12"/>
        <v>8.909029877272463</v>
      </c>
      <c r="M75" s="12">
        <f t="shared" si="13"/>
        <v>46.042014231876955</v>
      </c>
      <c r="N75" s="12">
        <f t="shared" si="14"/>
        <v>44.03482467241551</v>
      </c>
      <c r="O75" s="12">
        <f t="shared" si="15"/>
        <v>8.909029877272463</v>
      </c>
    </row>
    <row r="76" spans="1:15" x14ac:dyDescent="0.25">
      <c r="A76">
        <f>A75+dt</f>
        <v>1680.103999999998</v>
      </c>
      <c r="B76">
        <f t="shared" si="1"/>
        <v>4.5999999999999943</v>
      </c>
      <c r="C76" s="12">
        <f>C75-M75*Q_gw/$B$16*dt</f>
        <v>187.89079287079483</v>
      </c>
      <c r="D76" s="12">
        <f>D75-N75*Q_gw/$B$17*dt</f>
        <v>611.21242644465838</v>
      </c>
      <c r="E76" s="12">
        <f>E75-O75*Q_gw/$B$18*dt</f>
        <v>6593.6793325669487</v>
      </c>
      <c r="F76" s="12">
        <f t="shared" si="6"/>
        <v>7392.782551882402</v>
      </c>
      <c r="G76" s="12">
        <f t="shared" si="7"/>
        <v>2.5415436143587471E-2</v>
      </c>
      <c r="H76" s="12">
        <f t="shared" si="8"/>
        <v>8.2676911184007051E-2</v>
      </c>
      <c r="I76" s="12">
        <f t="shared" si="9"/>
        <v>0.89190765267240546</v>
      </c>
      <c r="J76" s="12">
        <f t="shared" si="10"/>
        <v>44.985321974149826</v>
      </c>
      <c r="K76" s="12">
        <f t="shared" si="11"/>
        <v>43.818762927523736</v>
      </c>
      <c r="L76" s="12">
        <f t="shared" si="12"/>
        <v>8.919076526724055</v>
      </c>
      <c r="M76" s="12">
        <f t="shared" si="13"/>
        <v>44.985321974149826</v>
      </c>
      <c r="N76" s="12">
        <f t="shared" si="14"/>
        <v>43.818762927523736</v>
      </c>
      <c r="O76" s="12">
        <f t="shared" si="15"/>
        <v>8.919076526724055</v>
      </c>
    </row>
    <row r="77" spans="1:15" x14ac:dyDescent="0.25">
      <c r="A77">
        <f>A76+dt</f>
        <v>1716.6279999999979</v>
      </c>
      <c r="B77">
        <f t="shared" si="1"/>
        <v>4.699999999999994</v>
      </c>
      <c r="C77" s="12">
        <f>C76-M76*Q_gw/$B$16*dt</f>
        <v>183.34665097126458</v>
      </c>
      <c r="D77" s="12">
        <f>D76-N76*Q_gw/$B$17*dt</f>
        <v>607.45895974120981</v>
      </c>
      <c r="E77" s="12">
        <f>E76-O76*Q_gw/$B$18*dt</f>
        <v>6592.9756902086547</v>
      </c>
      <c r="F77" s="12">
        <f t="shared" si="6"/>
        <v>7383.7813009211295</v>
      </c>
      <c r="G77" s="12">
        <f t="shared" si="7"/>
        <v>2.4830996951168097E-2</v>
      </c>
      <c r="H77" s="12">
        <f t="shared" si="8"/>
        <v>8.2269359693173616E-2</v>
      </c>
      <c r="I77" s="12">
        <f t="shared" si="9"/>
        <v>0.89289964335565819</v>
      </c>
      <c r="J77" s="12">
        <f t="shared" si="10"/>
        <v>43.950864603567531</v>
      </c>
      <c r="K77" s="12">
        <f t="shared" si="11"/>
        <v>43.602760637382019</v>
      </c>
      <c r="L77" s="12">
        <f t="shared" si="12"/>
        <v>8.9289964335565823</v>
      </c>
      <c r="M77" s="12">
        <f t="shared" si="13"/>
        <v>43.950864603567531</v>
      </c>
      <c r="N77" s="12">
        <f t="shared" si="14"/>
        <v>43.602760637382019</v>
      </c>
      <c r="O77" s="12">
        <f t="shared" si="15"/>
        <v>8.9289964335565823</v>
      </c>
    </row>
    <row r="78" spans="1:15" x14ac:dyDescent="0.25">
      <c r="A78">
        <f>A77+dt</f>
        <v>1753.1519999999978</v>
      </c>
      <c r="B78">
        <f t="shared" si="1"/>
        <v>4.7999999999999936</v>
      </c>
      <c r="C78" s="12">
        <f>C77-M77*Q_gw/$B$16*dt</f>
        <v>178.90700362406059</v>
      </c>
      <c r="D78" s="12">
        <f>D77-N77*Q_gw/$B$17*dt</f>
        <v>603.72399555471395</v>
      </c>
      <c r="E78" s="12">
        <f>E77-O77*Q_gw/$B$18*dt</f>
        <v>6592.271265250658</v>
      </c>
      <c r="F78" s="12">
        <f t="shared" si="6"/>
        <v>7374.9022644294328</v>
      </c>
      <c r="G78" s="12">
        <f t="shared" si="7"/>
        <v>2.4258898248314877E-2</v>
      </c>
      <c r="H78" s="12">
        <f t="shared" si="8"/>
        <v>8.186196561093298E-2</v>
      </c>
      <c r="I78" s="12">
        <f t="shared" si="9"/>
        <v>0.8938791361407521</v>
      </c>
      <c r="J78" s="12">
        <f t="shared" si="10"/>
        <v>42.938249899517331</v>
      </c>
      <c r="K78" s="12">
        <f t="shared" si="11"/>
        <v>43.38684177379448</v>
      </c>
      <c r="L78" s="12">
        <f t="shared" si="12"/>
        <v>8.938791361407521</v>
      </c>
      <c r="M78" s="12">
        <f t="shared" si="13"/>
        <v>42.938249899517331</v>
      </c>
      <c r="N78" s="12">
        <f t="shared" si="14"/>
        <v>43.38684177379448</v>
      </c>
      <c r="O78" s="12">
        <f t="shared" si="15"/>
        <v>8.938791361407521</v>
      </c>
    </row>
    <row r="79" spans="1:15" x14ac:dyDescent="0.25">
      <c r="A79">
        <f>A78+dt</f>
        <v>1789.6759999999977</v>
      </c>
      <c r="B79">
        <f t="shared" si="1"/>
        <v>4.8999999999999932</v>
      </c>
      <c r="C79" s="12">
        <f>C78-M78*Q_gw/$B$16*dt</f>
        <v>174.56964441669473</v>
      </c>
      <c r="D79" s="12">
        <f>D78-N78*Q_gw/$B$17*dt</f>
        <v>600.00752673894465</v>
      </c>
      <c r="E79" s="12">
        <f>E78-O78*Q_gw/$B$18*dt</f>
        <v>6591.5660675527806</v>
      </c>
      <c r="F79" s="12">
        <f t="shared" si="6"/>
        <v>7366.1432387084196</v>
      </c>
      <c r="G79" s="12">
        <f t="shared" si="7"/>
        <v>2.3698920691542755E-2</v>
      </c>
      <c r="H79" s="12">
        <f t="shared" si="8"/>
        <v>8.1454773182519605E-2</v>
      </c>
      <c r="I79" s="12">
        <f t="shared" si="9"/>
        <v>0.89484630612593774</v>
      </c>
      <c r="J79" s="12">
        <f t="shared" si="10"/>
        <v>41.947089624030674</v>
      </c>
      <c r="K79" s="12">
        <f t="shared" si="11"/>
        <v>43.171029786735389</v>
      </c>
      <c r="L79" s="12">
        <f t="shared" si="12"/>
        <v>8.9484630612593783</v>
      </c>
      <c r="M79" s="12">
        <f t="shared" si="13"/>
        <v>41.947089624030674</v>
      </c>
      <c r="N79" s="12">
        <f t="shared" si="14"/>
        <v>43.171029786735389</v>
      </c>
      <c r="O79" s="12">
        <f t="shared" si="15"/>
        <v>8.9484630612593783</v>
      </c>
    </row>
    <row r="80" spans="1:15" x14ac:dyDescent="0.25">
      <c r="A80">
        <f>A79+dt</f>
        <v>1826.1999999999975</v>
      </c>
      <c r="B80">
        <f t="shared" si="1"/>
        <v>4.9999999999999929</v>
      </c>
      <c r="C80" s="12">
        <f>C79-M79*Q_gw/$B$16*dt</f>
        <v>170.3324061541023</v>
      </c>
      <c r="D80" s="12">
        <f>D79-N79*Q_gw/$B$17*dt</f>
        <v>596.30954413897678</v>
      </c>
      <c r="E80" s="12">
        <f>E79-O79*Q_gw/$B$18*dt</f>
        <v>6590.8601068367061</v>
      </c>
      <c r="F80" s="12">
        <f t="shared" si="6"/>
        <v>7357.5020571297855</v>
      </c>
      <c r="G80" s="12">
        <f t="shared" si="7"/>
        <v>2.3150847234767909E-2</v>
      </c>
      <c r="H80" s="12">
        <f t="shared" si="8"/>
        <v>8.1047825676259677E-2</v>
      </c>
      <c r="I80" s="12">
        <f t="shared" si="9"/>
        <v>0.89580132708897242</v>
      </c>
      <c r="J80" s="12">
        <f t="shared" si="10"/>
        <v>40.976999605539199</v>
      </c>
      <c r="K80" s="12">
        <f t="shared" si="11"/>
        <v>42.955347608417625</v>
      </c>
      <c r="L80" s="12">
        <f t="shared" si="12"/>
        <v>8.9580132708897242</v>
      </c>
      <c r="M80" s="12">
        <f t="shared" si="13"/>
        <v>40.976999605539199</v>
      </c>
      <c r="N80" s="12">
        <f t="shared" si="14"/>
        <v>42.955347608417625</v>
      </c>
      <c r="O80" s="12">
        <f t="shared" si="15"/>
        <v>8.9580132708897242</v>
      </c>
    </row>
    <row r="81" spans="1:15" x14ac:dyDescent="0.25">
      <c r="A81">
        <f>A80+dt</f>
        <v>1862.7239999999974</v>
      </c>
      <c r="B81">
        <f t="shared" si="1"/>
        <v>5.0999999999999925</v>
      </c>
      <c r="C81" s="12">
        <f>C80-M80*Q_gw/$B$16*dt</f>
        <v>166.19316044787917</v>
      </c>
      <c r="D81" s="12">
        <f>D80-N80*Q_gw/$B$17*dt</f>
        <v>592.63003663553741</v>
      </c>
      <c r="E81" s="12">
        <f>E80-O80*Q_gw/$B$18*dt</f>
        <v>6590.1533926870216</v>
      </c>
      <c r="F81" s="12">
        <f t="shared" si="6"/>
        <v>7348.9765897704383</v>
      </c>
      <c r="G81" s="12">
        <f t="shared" si="7"/>
        <v>2.2614463172901545E-2</v>
      </c>
      <c r="H81" s="12">
        <f t="shared" si="8"/>
        <v>8.0641165391717423E-2</v>
      </c>
      <c r="I81" s="12">
        <f t="shared" si="9"/>
        <v>0.89674437143538099</v>
      </c>
      <c r="J81" s="12">
        <f t="shared" si="10"/>
        <v>40.027599816035732</v>
      </c>
      <c r="K81" s="12">
        <f t="shared" si="11"/>
        <v>42.739817657610232</v>
      </c>
      <c r="L81" s="12">
        <f t="shared" si="12"/>
        <v>8.9674437143538093</v>
      </c>
      <c r="M81" s="12">
        <f t="shared" si="13"/>
        <v>40.027599816035732</v>
      </c>
      <c r="N81" s="12">
        <f t="shared" si="14"/>
        <v>42.739817657610232</v>
      </c>
      <c r="O81" s="12">
        <f t="shared" si="15"/>
        <v>8.9674437143538093</v>
      </c>
    </row>
    <row r="82" spans="1:15" x14ac:dyDescent="0.25">
      <c r="A82">
        <f>A81+dt</f>
        <v>1899.2479999999973</v>
      </c>
      <c r="B82">
        <f t="shared" si="1"/>
        <v>5.1999999999999922</v>
      </c>
      <c r="C82" s="12">
        <f>C81-M81*Q_gw/$B$16*dt</f>
        <v>162.14981729772458</v>
      </c>
      <c r="D82" s="12">
        <f>D81-N81*Q_gw/$B$17*dt</f>
        <v>588.96899118898648</v>
      </c>
      <c r="E82" s="12">
        <f>E81-O81*Q_gw/$B$18*dt</f>
        <v>6589.4459345523001</v>
      </c>
      <c r="F82" s="12">
        <f t="shared" si="6"/>
        <v>7340.5647430390109</v>
      </c>
      <c r="G82" s="12">
        <f t="shared" si="7"/>
        <v>2.2089556181830526E-2</v>
      </c>
      <c r="H82" s="12">
        <f t="shared" si="8"/>
        <v>8.0234833668281491E-2</v>
      </c>
      <c r="I82" s="12">
        <f t="shared" si="9"/>
        <v>0.89767561014988806</v>
      </c>
      <c r="J82" s="12">
        <f t="shared" si="10"/>
        <v>39.098514441840031</v>
      </c>
      <c r="K82" s="12">
        <f t="shared" si="11"/>
        <v>42.52446184418919</v>
      </c>
      <c r="L82" s="12">
        <f t="shared" si="12"/>
        <v>8.9767561014988804</v>
      </c>
      <c r="M82" s="12">
        <f t="shared" si="13"/>
        <v>39.098514441840031</v>
      </c>
      <c r="N82" s="12">
        <f t="shared" si="14"/>
        <v>42.52446184418919</v>
      </c>
      <c r="O82" s="12">
        <f t="shared" si="15"/>
        <v>8.9767561014988804</v>
      </c>
    </row>
    <row r="83" spans="1:15" x14ac:dyDescent="0.25">
      <c r="A83">
        <f>A82+dt</f>
        <v>1935.7719999999972</v>
      </c>
      <c r="B83">
        <f t="shared" si="1"/>
        <v>5.2999999999999918</v>
      </c>
      <c r="C83" s="12">
        <f>C82-M82*Q_gw/$B$16*dt</f>
        <v>158.20032466573568</v>
      </c>
      <c r="D83" s="12">
        <f>D82-N82*Q_gw/$B$17*dt</f>
        <v>585.32639288290841</v>
      </c>
      <c r="E83" s="12">
        <f>E82-O82*Q_gw/$B$18*dt</f>
        <v>6588.7377417462212</v>
      </c>
      <c r="F83" s="12">
        <f t="shared" si="6"/>
        <v>7332.2644592948654</v>
      </c>
      <c r="G83" s="12">
        <f t="shared" si="7"/>
        <v>2.1575916354897761E-2</v>
      </c>
      <c r="H83" s="12">
        <f t="shared" si="8"/>
        <v>7.9828870894162823E-2</v>
      </c>
      <c r="I83" s="12">
        <f t="shared" si="9"/>
        <v>0.89859521275093934</v>
      </c>
      <c r="J83" s="12">
        <f t="shared" si="10"/>
        <v>38.18937194816904</v>
      </c>
      <c r="K83" s="12">
        <f t="shared" si="11"/>
        <v>42.309301573906296</v>
      </c>
      <c r="L83" s="12">
        <f t="shared" si="12"/>
        <v>8.9859521275093925</v>
      </c>
      <c r="M83" s="12">
        <f t="shared" si="13"/>
        <v>38.18937194816904</v>
      </c>
      <c r="N83" s="12">
        <f t="shared" si="14"/>
        <v>42.309301573906296</v>
      </c>
      <c r="O83" s="12">
        <f t="shared" si="15"/>
        <v>8.9859521275093925</v>
      </c>
    </row>
    <row r="84" spans="1:15" x14ac:dyDescent="0.25">
      <c r="A84">
        <f>A83+dt</f>
        <v>1972.2959999999971</v>
      </c>
      <c r="B84">
        <f t="shared" si="1"/>
        <v>5.3999999999999915</v>
      </c>
      <c r="C84" s="12">
        <f>C83-M83*Q_gw/$B$16*dt</f>
        <v>154.34266804417942</v>
      </c>
      <c r="D84" s="12">
        <f>D83-N83*Q_gw/$B$17*dt</f>
        <v>581.70222496729457</v>
      </c>
      <c r="E84" s="12">
        <f>E83-O83*Q_gw/$B$18*dt</f>
        <v>6588.0288234487298</v>
      </c>
      <c r="F84" s="12">
        <f t="shared" si="6"/>
        <v>7324.0737164602033</v>
      </c>
      <c r="G84" s="12">
        <f t="shared" si="7"/>
        <v>2.1073336235995006E-2</v>
      </c>
      <c r="H84" s="12">
        <f t="shared" si="8"/>
        <v>7.9423316515775999E-2</v>
      </c>
      <c r="I84" s="12">
        <f t="shared" si="9"/>
        <v>0.89950334724822911</v>
      </c>
      <c r="J84" s="12">
        <f t="shared" si="10"/>
        <v>37.299805137711161</v>
      </c>
      <c r="K84" s="12">
        <f t="shared" si="11"/>
        <v>42.09435775336128</v>
      </c>
      <c r="L84" s="12">
        <f t="shared" si="12"/>
        <v>8.9950334724822909</v>
      </c>
      <c r="M84" s="12">
        <f t="shared" si="13"/>
        <v>37.299805137711161</v>
      </c>
      <c r="N84" s="12">
        <f t="shared" si="14"/>
        <v>42.09435775336128</v>
      </c>
      <c r="O84" s="12">
        <f t="shared" si="15"/>
        <v>8.9950334724822909</v>
      </c>
    </row>
    <row r="85" spans="1:15" x14ac:dyDescent="0.25">
      <c r="A85">
        <f>A84+dt</f>
        <v>2008.819999999997</v>
      </c>
      <c r="B85">
        <f t="shared" si="1"/>
        <v>5.499999999999992</v>
      </c>
      <c r="C85" s="12">
        <f>C84-M84*Q_gw/$B$16*dt</f>
        <v>150.57487001734782</v>
      </c>
      <c r="D85" s="12">
        <f>D84-N84*Q_gw/$B$17*dt</f>
        <v>578.09646890130011</v>
      </c>
      <c r="E85" s="12">
        <f>E84-O84*Q_gw/$B$18*dt</f>
        <v>6587.3191887072244</v>
      </c>
      <c r="F85" s="12">
        <f t="shared" si="6"/>
        <v>7315.9905276258723</v>
      </c>
      <c r="G85" s="12">
        <f t="shared" si="7"/>
        <v>2.0581610849380254E-2</v>
      </c>
      <c r="H85" s="12">
        <f t="shared" si="8"/>
        <v>7.901820904747664E-2</v>
      </c>
      <c r="I85" s="12">
        <f t="shared" si="9"/>
        <v>0.90040018010314316</v>
      </c>
      <c r="J85" s="12">
        <f t="shared" si="10"/>
        <v>36.429451203403048</v>
      </c>
      <c r="K85" s="12">
        <f t="shared" si="11"/>
        <v>41.879650795162618</v>
      </c>
      <c r="L85" s="12">
        <f t="shared" si="12"/>
        <v>9.004001801031432</v>
      </c>
      <c r="M85" s="12">
        <f t="shared" si="13"/>
        <v>36.429451203403048</v>
      </c>
      <c r="N85" s="12">
        <f t="shared" si="14"/>
        <v>41.879650795162618</v>
      </c>
      <c r="O85" s="12">
        <f t="shared" si="15"/>
        <v>9.004001801031432</v>
      </c>
    </row>
    <row r="86" spans="1:15" x14ac:dyDescent="0.25">
      <c r="A86">
        <f>A85+dt</f>
        <v>2045.3439999999969</v>
      </c>
      <c r="B86">
        <f t="shared" si="1"/>
        <v>5.5999999999999917</v>
      </c>
      <c r="C86" s="12">
        <f>C85-M85*Q_gw/$B$16*dt</f>
        <v>146.89498981808191</v>
      </c>
      <c r="D86" s="12">
        <f>D85-N85*Q_gw/$B$17*dt</f>
        <v>574.50910439555867</v>
      </c>
      <c r="E86" s="12">
        <f>E85-O85*Q_gw/$B$18*dt</f>
        <v>6586.6088464377781</v>
      </c>
      <c r="F86" s="12">
        <f t="shared" si="6"/>
        <v>7308.0129406514188</v>
      </c>
      <c r="G86" s="12">
        <f t="shared" si="7"/>
        <v>2.0100537726331399E-2</v>
      </c>
      <c r="H86" s="12">
        <f t="shared" si="8"/>
        <v>7.8613586081628953E-2</v>
      </c>
      <c r="I86" s="12">
        <f t="shared" si="9"/>
        <v>0.90128587619203959</v>
      </c>
      <c r="J86" s="12">
        <f t="shared" si="10"/>
        <v>35.577951775606579</v>
      </c>
      <c r="K86" s="12">
        <f t="shared" si="11"/>
        <v>41.665200623263345</v>
      </c>
      <c r="L86" s="12">
        <f t="shared" si="12"/>
        <v>9.0128587619203966</v>
      </c>
      <c r="M86" s="12">
        <f t="shared" si="13"/>
        <v>35.577951775606579</v>
      </c>
      <c r="N86" s="12">
        <f t="shared" si="14"/>
        <v>41.665200623263345</v>
      </c>
      <c r="O86" s="12">
        <f t="shared" si="15"/>
        <v>9.0128587619203966</v>
      </c>
    </row>
    <row r="87" spans="1:15" x14ac:dyDescent="0.25">
      <c r="A87">
        <f>A86+dt</f>
        <v>2081.8679999999968</v>
      </c>
      <c r="B87">
        <f t="shared" si="1"/>
        <v>5.6999999999999913</v>
      </c>
      <c r="C87" s="12">
        <f>C86-M86*Q_gw/$B$16*dt</f>
        <v>143.30112287953023</v>
      </c>
      <c r="D87" s="12">
        <f>D86-N86*Q_gw/$B$17*dt</f>
        <v>570.94010945404034</v>
      </c>
      <c r="E87" s="12">
        <f>E86-O86*Q_gw/$B$18*dt</f>
        <v>6585.8978054263898</v>
      </c>
      <c r="F87" s="12">
        <f t="shared" si="6"/>
        <v>7300.13903775996</v>
      </c>
      <c r="G87" s="12">
        <f t="shared" si="7"/>
        <v>1.9629916928746882E-2</v>
      </c>
      <c r="H87" s="12">
        <f t="shared" si="8"/>
        <v>7.8209484298977505E-2</v>
      </c>
      <c r="I87" s="12">
        <f t="shared" si="9"/>
        <v>0.90216059877227561</v>
      </c>
      <c r="J87" s="12">
        <f t="shared" si="10"/>
        <v>34.744952963881978</v>
      </c>
      <c r="K87" s="12">
        <f t="shared" si="11"/>
        <v>41.451026678458078</v>
      </c>
      <c r="L87" s="12">
        <f t="shared" si="12"/>
        <v>9.0216059877227561</v>
      </c>
      <c r="M87" s="12">
        <f t="shared" si="13"/>
        <v>34.744952963881978</v>
      </c>
      <c r="N87" s="12">
        <f t="shared" si="14"/>
        <v>41.451026678458078</v>
      </c>
      <c r="O87" s="12">
        <f t="shared" si="15"/>
        <v>9.0216059877227561</v>
      </c>
    </row>
    <row r="88" spans="1:15" x14ac:dyDescent="0.25">
      <c r="A88">
        <f>A87+dt</f>
        <v>2118.3919999999966</v>
      </c>
      <c r="B88">
        <f t="shared" si="1"/>
        <v>5.7999999999999909</v>
      </c>
      <c r="C88" s="12">
        <f>C87-M87*Q_gw/$B$16*dt</f>
        <v>139.79140038268758</v>
      </c>
      <c r="D88" s="12">
        <f>D87-N87*Q_gw/$B$17*dt</f>
        <v>567.38946041543807</v>
      </c>
      <c r="E88" s="12">
        <f>E87-O87*Q_gw/$B$18*dt</f>
        <v>6585.1860743302632</v>
      </c>
      <c r="F88" s="12">
        <f t="shared" si="6"/>
        <v>7292.3669351283888</v>
      </c>
      <c r="G88" s="12">
        <f t="shared" si="7"/>
        <v>1.916955106980316E-2</v>
      </c>
      <c r="H88" s="12">
        <f t="shared" si="8"/>
        <v>7.7805939479298661E-2</v>
      </c>
      <c r="I88" s="12">
        <f t="shared" si="9"/>
        <v>0.90302450945089818</v>
      </c>
      <c r="J88" s="12">
        <f t="shared" si="10"/>
        <v>33.930105393551592</v>
      </c>
      <c r="K88" s="12">
        <f t="shared" si="11"/>
        <v>41.237147924028292</v>
      </c>
      <c r="L88" s="12">
        <f t="shared" si="12"/>
        <v>9.0302450945089809</v>
      </c>
      <c r="M88" s="12">
        <f t="shared" si="13"/>
        <v>33.930105393551592</v>
      </c>
      <c r="N88" s="12">
        <f t="shared" si="14"/>
        <v>41.237147924028292</v>
      </c>
      <c r="O88" s="12">
        <f t="shared" si="15"/>
        <v>9.0302450945089809</v>
      </c>
    </row>
    <row r="89" spans="1:15" x14ac:dyDescent="0.25">
      <c r="A89">
        <f>A88+dt</f>
        <v>2154.9159999999965</v>
      </c>
      <c r="B89">
        <f t="shared" si="1"/>
        <v>5.8999999999999906</v>
      </c>
      <c r="C89" s="12">
        <f>C88-M88*Q_gw/$B$16*dt</f>
        <v>136.36398880024046</v>
      </c>
      <c r="D89" s="12">
        <f>D88-N88*Q_gw/$B$17*dt</f>
        <v>563.85713199407132</v>
      </c>
      <c r="E89" s="12">
        <f>E88-O88*Q_gw/$B$18*dt</f>
        <v>6584.473661679106</v>
      </c>
      <c r="F89" s="12">
        <f t="shared" si="6"/>
        <v>7284.6947824734179</v>
      </c>
      <c r="G89" s="12">
        <f t="shared" si="7"/>
        <v>1.8719245331777639E-2</v>
      </c>
      <c r="H89" s="12">
        <f t="shared" si="8"/>
        <v>7.740298651230812E-2</v>
      </c>
      <c r="I89" s="12">
        <f t="shared" si="9"/>
        <v>0.90387776815591425</v>
      </c>
      <c r="J89" s="12">
        <f t="shared" si="10"/>
        <v>33.133064237246423</v>
      </c>
      <c r="K89" s="12">
        <f t="shared" si="11"/>
        <v>41.023582851523301</v>
      </c>
      <c r="L89" s="12">
        <f t="shared" si="12"/>
        <v>9.038777681559143</v>
      </c>
      <c r="M89" s="12">
        <f t="shared" si="13"/>
        <v>33.133064237246423</v>
      </c>
      <c r="N89" s="12">
        <f t="shared" si="14"/>
        <v>41.023582851523301</v>
      </c>
      <c r="O89" s="12">
        <f t="shared" si="15"/>
        <v>9.038777681559143</v>
      </c>
    </row>
    <row r="90" spans="1:15" x14ac:dyDescent="0.25">
      <c r="A90">
        <f>A89+dt</f>
        <v>2191.4399999999964</v>
      </c>
      <c r="B90">
        <f t="shared" si="1"/>
        <v>5.9999999999999902</v>
      </c>
      <c r="C90" s="12">
        <f>C89-M89*Q_gw/$B$16*dt</f>
        <v>133.01708943722565</v>
      </c>
      <c r="D90" s="12">
        <f>D89-N89*Q_gw/$B$17*dt</f>
        <v>560.34309732029374</v>
      </c>
      <c r="E90" s="12">
        <f>E89-O89*Q_gw/$B$18*dt</f>
        <v>6583.7605758764566</v>
      </c>
      <c r="F90" s="12">
        <f t="shared" si="6"/>
        <v>7277.1207626339765</v>
      </c>
      <c r="G90" s="12">
        <f t="shared" si="7"/>
        <v>1.8278807481144466E-2</v>
      </c>
      <c r="H90" s="12">
        <f t="shared" si="8"/>
        <v>7.7000659408801103E-2</v>
      </c>
      <c r="I90" s="12">
        <f t="shared" si="9"/>
        <v>0.9047205331100544</v>
      </c>
      <c r="J90" s="12">
        <f t="shared" si="10"/>
        <v>32.353489241625702</v>
      </c>
      <c r="K90" s="12">
        <f t="shared" si="11"/>
        <v>40.810349486664585</v>
      </c>
      <c r="L90" s="12">
        <f t="shared" si="12"/>
        <v>9.0472053311005443</v>
      </c>
      <c r="M90" s="12">
        <f t="shared" si="13"/>
        <v>32.353489241625702</v>
      </c>
      <c r="N90" s="12">
        <f t="shared" si="14"/>
        <v>40.810349486664585</v>
      </c>
      <c r="O90" s="12">
        <f t="shared" si="15"/>
        <v>9.0472053311005443</v>
      </c>
    </row>
    <row r="91" spans="1:15" x14ac:dyDescent="0.25">
      <c r="A91">
        <f>A90+dt</f>
        <v>2227.9639999999963</v>
      </c>
      <c r="B91">
        <f t="shared" si="1"/>
        <v>6.0999999999999899</v>
      </c>
      <c r="C91" s="12">
        <f>C90-M90*Q_gw/$B$16*dt</f>
        <v>129.74893796898999</v>
      </c>
      <c r="D91" s="12">
        <f>D90-N90*Q_gw/$B$17*dt</f>
        <v>556.84732798039579</v>
      </c>
      <c r="E91" s="12">
        <f>E90-O90*Q_gw/$B$18*dt</f>
        <v>6583.0468252010287</v>
      </c>
      <c r="F91" s="12">
        <f t="shared" si="6"/>
        <v>7269.643091150414</v>
      </c>
      <c r="G91" s="12">
        <f t="shared" si="7"/>
        <v>1.7848047881049049E-2</v>
      </c>
      <c r="H91" s="12">
        <f t="shared" si="8"/>
        <v>7.6598991312003359E-2</v>
      </c>
      <c r="I91" s="12">
        <f t="shared" si="9"/>
        <v>0.90555296080694769</v>
      </c>
      <c r="J91" s="12">
        <f t="shared" si="10"/>
        <v>31.591044749456817</v>
      </c>
      <c r="K91" s="12">
        <f t="shared" si="11"/>
        <v>40.59746539536178</v>
      </c>
      <c r="L91" s="12">
        <f t="shared" si="12"/>
        <v>9.0555296080694774</v>
      </c>
      <c r="M91" s="12">
        <f t="shared" si="13"/>
        <v>31.591044749456817</v>
      </c>
      <c r="N91" s="12">
        <f t="shared" si="14"/>
        <v>40.59746539536178</v>
      </c>
      <c r="O91" s="12">
        <f t="shared" si="15"/>
        <v>9.0555296080694774</v>
      </c>
    </row>
    <row r="92" spans="1:15" x14ac:dyDescent="0.25">
      <c r="A92">
        <f>A91+dt</f>
        <v>2264.4879999999962</v>
      </c>
      <c r="B92">
        <f t="shared" si="1"/>
        <v>6.1999999999999895</v>
      </c>
      <c r="C92" s="12">
        <f>C91-M91*Q_gw/$B$16*dt</f>
        <v>126.55780397691959</v>
      </c>
      <c r="D92" s="12">
        <f>D91-N91*Q_gw/$B$17*dt</f>
        <v>553.36979405599141</v>
      </c>
      <c r="E92" s="12">
        <f>E91-O91*Q_gw/$B$18*dt</f>
        <v>6582.3324178080738</v>
      </c>
      <c r="F92" s="12">
        <f t="shared" si="6"/>
        <v>7262.260015840985</v>
      </c>
      <c r="G92" s="12">
        <f t="shared" si="7"/>
        <v>1.7426779501265754E-2</v>
      </c>
      <c r="H92" s="12">
        <f t="shared" si="8"/>
        <v>7.6198014509111456E-2</v>
      </c>
      <c r="I92" s="12">
        <f t="shared" si="9"/>
        <v>0.90637520598962273</v>
      </c>
      <c r="J92" s="12">
        <f t="shared" si="10"/>
        <v>30.845399717240387</v>
      </c>
      <c r="K92" s="12">
        <f t="shared" si="11"/>
        <v>40.384947689829069</v>
      </c>
      <c r="L92" s="12">
        <f t="shared" si="12"/>
        <v>9.0637520598962276</v>
      </c>
      <c r="M92" s="12">
        <f t="shared" si="13"/>
        <v>30.845399717240387</v>
      </c>
      <c r="N92" s="12">
        <f t="shared" si="14"/>
        <v>40.384947689829069</v>
      </c>
      <c r="O92" s="12">
        <f t="shared" si="15"/>
        <v>9.0637520598962276</v>
      </c>
    </row>
    <row r="93" spans="1:15" x14ac:dyDescent="0.25">
      <c r="A93">
        <f>A92+dt</f>
        <v>2301.0119999999961</v>
      </c>
      <c r="B93">
        <f t="shared" si="1"/>
        <v>6.2999999999999892</v>
      </c>
      <c r="C93" s="12">
        <f>C92-M92*Q_gw/$B$16*dt</f>
        <v>123.44199048238876</v>
      </c>
      <c r="D93" s="12">
        <f>D92-N92*Q_gw/$B$17*dt</f>
        <v>549.91046416288134</v>
      </c>
      <c r="E93" s="12">
        <f>E92-O92*Q_gw/$B$18*dt</f>
        <v>6581.617361730765</v>
      </c>
      <c r="F93" s="12">
        <f t="shared" si="6"/>
        <v>7254.9698163760349</v>
      </c>
      <c r="G93" s="12">
        <f t="shared" si="7"/>
        <v>1.7014817925741541E-2</v>
      </c>
      <c r="H93" s="12">
        <f t="shared" si="8"/>
        <v>7.5797760443002057E-2</v>
      </c>
      <c r="I93" s="12">
        <f t="shared" si="9"/>
        <v>0.90718742163125643</v>
      </c>
      <c r="J93" s="12">
        <f t="shared" si="10"/>
        <v>30.116227728562528</v>
      </c>
      <c r="K93" s="12">
        <f t="shared" si="11"/>
        <v>40.172813034791091</v>
      </c>
      <c r="L93" s="12">
        <f t="shared" si="12"/>
        <v>9.0718742163125636</v>
      </c>
      <c r="M93" s="12">
        <f t="shared" si="13"/>
        <v>30.116227728562528</v>
      </c>
      <c r="N93" s="12">
        <f t="shared" si="14"/>
        <v>40.172813034791091</v>
      </c>
      <c r="O93" s="12">
        <f t="shared" si="15"/>
        <v>9.0718742163125636</v>
      </c>
    </row>
    <row r="94" spans="1:15" x14ac:dyDescent="0.25">
      <c r="A94">
        <f>A93+dt</f>
        <v>2337.535999999996</v>
      </c>
      <c r="B94">
        <f t="shared" si="1"/>
        <v>6.3999999999999888</v>
      </c>
      <c r="C94" s="12">
        <f>C93-M93*Q_gw/$B$16*dt</f>
        <v>120.39983347936018</v>
      </c>
      <c r="D94" s="12">
        <f>D93-N93*Q_gw/$B$17*dt</f>
        <v>546.4693054893844</v>
      </c>
      <c r="E94" s="12">
        <f>E93-O93*Q_gw/$B$18*dt</f>
        <v>6580.9016648815914</v>
      </c>
      <c r="F94" s="12">
        <f t="shared" si="6"/>
        <v>7247.7708038503361</v>
      </c>
      <c r="G94" s="12">
        <f t="shared" si="7"/>
        <v>1.6611981357826391E-2</v>
      </c>
      <c r="H94" s="12">
        <f t="shared" si="8"/>
        <v>7.5398259724090033E-2</v>
      </c>
      <c r="I94" s="12">
        <f t="shared" si="9"/>
        <v>0.90798975891808353</v>
      </c>
      <c r="J94" s="12">
        <f t="shared" si="10"/>
        <v>29.403207003352712</v>
      </c>
      <c r="K94" s="12">
        <f t="shared" si="11"/>
        <v>39.961077653767717</v>
      </c>
      <c r="L94" s="12">
        <f t="shared" si="12"/>
        <v>9.0798975891808347</v>
      </c>
      <c r="M94" s="12">
        <f t="shared" si="13"/>
        <v>29.403207003352712</v>
      </c>
      <c r="N94" s="12">
        <f t="shared" si="14"/>
        <v>39.961077653767717</v>
      </c>
      <c r="O94" s="12">
        <f t="shared" si="15"/>
        <v>9.0798975891808347</v>
      </c>
    </row>
    <row r="95" spans="1:15" x14ac:dyDescent="0.25">
      <c r="A95">
        <f>A94+dt</f>
        <v>2374.0599999999959</v>
      </c>
      <c r="B95">
        <f t="shared" ref="B95:B132" si="16">A95/365.24</f>
        <v>6.4999999999999885</v>
      </c>
      <c r="C95" s="12">
        <f>C94-M94*Q_gw/$B$16*dt</f>
        <v>117.42970146604983</v>
      </c>
      <c r="D95" s="12">
        <f>D94-N94*Q_gw/$B$17*dt</f>
        <v>543.04628383413069</v>
      </c>
      <c r="E95" s="12">
        <f>E94-O94*Q_gw/$B$18*dt</f>
        <v>6580.1853350537694</v>
      </c>
      <c r="F95" s="12">
        <f t="shared" si="6"/>
        <v>7240.66132035395</v>
      </c>
      <c r="G95" s="12">
        <f t="shared" si="7"/>
        <v>1.6218090623289841E-2</v>
      </c>
      <c r="H95" s="12">
        <f t="shared" si="8"/>
        <v>7.4999542142316994E-2</v>
      </c>
      <c r="I95" s="12">
        <f t="shared" si="9"/>
        <v>0.90878236723439321</v>
      </c>
      <c r="J95" s="12">
        <f t="shared" si="10"/>
        <v>28.706020403223018</v>
      </c>
      <c r="K95" s="12">
        <f t="shared" si="11"/>
        <v>39.749757335428008</v>
      </c>
      <c r="L95" s="12">
        <f t="shared" si="12"/>
        <v>9.0878236723439318</v>
      </c>
      <c r="M95" s="12">
        <f t="shared" si="13"/>
        <v>28.706020403223018</v>
      </c>
      <c r="N95" s="12">
        <f t="shared" si="14"/>
        <v>39.749757335428008</v>
      </c>
      <c r="O95" s="12">
        <f t="shared" si="15"/>
        <v>9.0878236723439318</v>
      </c>
    </row>
    <row r="96" spans="1:15" x14ac:dyDescent="0.25">
      <c r="A96">
        <f>A95+dt</f>
        <v>2410.5839999999957</v>
      </c>
      <c r="B96">
        <f t="shared" si="16"/>
        <v>6.5999999999999881</v>
      </c>
      <c r="C96" s="12">
        <f>C95-M95*Q_gw/$B$16*dt</f>
        <v>114.52999497605265</v>
      </c>
      <c r="D96" s="12">
        <f>D95-N95*Q_gw/$B$17*dt</f>
        <v>539.64136364331046</v>
      </c>
      <c r="E96" s="12">
        <f>E95-O95*Q_gw/$B$18*dt</f>
        <v>6579.4683799226623</v>
      </c>
      <c r="F96" s="12">
        <f t="shared" ref="F96:F130" si="17">SUM(C96:E96)</f>
        <v>7233.639738542025</v>
      </c>
      <c r="G96" s="12">
        <f t="shared" ref="G96:G130" si="18">C96/$F96</f>
        <v>1.5832969171220672E-2</v>
      </c>
      <c r="H96" s="12">
        <f t="shared" ref="H96:H130" si="19">D96/$F96</f>
        <v>7.4601636679251848E-2</v>
      </c>
      <c r="I96" s="12">
        <f t="shared" ref="I96:I130" si="20">E96/$F96</f>
        <v>0.90956539414952753</v>
      </c>
      <c r="J96" s="12">
        <f t="shared" ref="J96:J130" si="21">G96*$C$16</f>
        <v>28.024355433060588</v>
      </c>
      <c r="K96" s="12">
        <f t="shared" ref="K96:K130" si="22">H96*$C$17</f>
        <v>39.538867440003479</v>
      </c>
      <c r="L96" s="12">
        <f t="shared" ref="L96:L130" si="23">I96*$C$18</f>
        <v>9.0956539414952751</v>
      </c>
      <c r="M96" s="12">
        <f t="shared" ref="M96:M130" si="24">J96</f>
        <v>28.024355433060588</v>
      </c>
      <c r="N96" s="12">
        <f t="shared" ref="N96:N130" si="25">K96</f>
        <v>39.538867440003479</v>
      </c>
      <c r="O96" s="12">
        <f t="shared" ref="O96:O130" si="26">L96</f>
        <v>9.0956539414952751</v>
      </c>
    </row>
    <row r="97" spans="1:15" x14ac:dyDescent="0.25">
      <c r="A97">
        <f>A96+dt</f>
        <v>2447.1079999999956</v>
      </c>
      <c r="B97">
        <f t="shared" si="16"/>
        <v>6.6999999999999877</v>
      </c>
      <c r="C97" s="12">
        <f>C96-M96*Q_gw/$B$16*dt</f>
        <v>111.69914610930726</v>
      </c>
      <c r="D97" s="12">
        <f>D96-N96*Q_gw/$B$17*dt</f>
        <v>536.25450804737352</v>
      </c>
      <c r="E97" s="12">
        <f>E96-O96*Q_gw/$B$18*dt</f>
        <v>6578.750807047214</v>
      </c>
      <c r="F97" s="12">
        <f t="shared" si="17"/>
        <v>7226.7044612038953</v>
      </c>
      <c r="G97" s="12">
        <f t="shared" si="18"/>
        <v>1.545644307290509E-2</v>
      </c>
      <c r="H97" s="12">
        <f t="shared" si="19"/>
        <v>7.4204571520285881E-2</v>
      </c>
      <c r="I97" s="12">
        <f t="shared" si="20"/>
        <v>0.91033898540680891</v>
      </c>
      <c r="J97" s="12">
        <f t="shared" si="21"/>
        <v>27.357904239042011</v>
      </c>
      <c r="K97" s="12">
        <f t="shared" si="22"/>
        <v>39.328422905751516</v>
      </c>
      <c r="L97" s="12">
        <f t="shared" si="23"/>
        <v>9.1033898540680891</v>
      </c>
      <c r="M97" s="12">
        <f t="shared" si="24"/>
        <v>27.357904239042011</v>
      </c>
      <c r="N97" s="12">
        <f t="shared" si="25"/>
        <v>39.328422905751516</v>
      </c>
      <c r="O97" s="12">
        <f t="shared" si="26"/>
        <v>9.1033898540680891</v>
      </c>
    </row>
    <row r="98" spans="1:15" x14ac:dyDescent="0.25">
      <c r="A98">
        <f>A97+dt</f>
        <v>2483.6319999999955</v>
      </c>
      <c r="B98">
        <f t="shared" si="16"/>
        <v>6.7999999999999874</v>
      </c>
      <c r="C98" s="12">
        <f>C97-M97*Q_gw/$B$16*dt</f>
        <v>108.93561806326139</v>
      </c>
      <c r="D98" s="12">
        <f>D97-N97*Q_gw/$B$17*dt</f>
        <v>532.8856788971749</v>
      </c>
      <c r="E98" s="12">
        <f>E97-O97*Q_gw/$B$18*dt</f>
        <v>6578.0326238713897</v>
      </c>
      <c r="F98" s="12">
        <f t="shared" si="17"/>
        <v>7219.8539208318261</v>
      </c>
      <c r="G98" s="12">
        <f t="shared" si="18"/>
        <v>1.5088341018776529E-2</v>
      </c>
      <c r="H98" s="12">
        <f t="shared" si="19"/>
        <v>7.3808374066906213E-2</v>
      </c>
      <c r="I98" s="12">
        <f t="shared" si="20"/>
        <v>0.91110328491431725</v>
      </c>
      <c r="J98" s="12">
        <f t="shared" si="21"/>
        <v>26.706363603234458</v>
      </c>
      <c r="K98" s="12">
        <f t="shared" si="22"/>
        <v>39.118438255460291</v>
      </c>
      <c r="L98" s="12">
        <f t="shared" si="23"/>
        <v>9.1110328491431716</v>
      </c>
      <c r="M98" s="12">
        <f t="shared" si="24"/>
        <v>26.706363603234458</v>
      </c>
      <c r="N98" s="12">
        <f t="shared" si="25"/>
        <v>39.118438255460291</v>
      </c>
      <c r="O98" s="12">
        <f t="shared" si="26"/>
        <v>9.1110328491431716</v>
      </c>
    </row>
    <row r="99" spans="1:15" x14ac:dyDescent="0.25">
      <c r="A99">
        <f>A98+dt</f>
        <v>2520.1559999999954</v>
      </c>
      <c r="B99">
        <f t="shared" si="16"/>
        <v>6.899999999999987</v>
      </c>
      <c r="C99" s="12">
        <f>C98-M98*Q_gw/$B$16*dt</f>
        <v>106.23790466458252</v>
      </c>
      <c r="D99" s="12">
        <f>D98-N98*Q_gw/$B$17*dt</f>
        <v>529.534836799564</v>
      </c>
      <c r="E99" s="12">
        <f>E98-O98*Q_gw/$B$18*dt</f>
        <v>6577.31383772562</v>
      </c>
      <c r="F99" s="12">
        <f t="shared" si="17"/>
        <v>7213.0865791897668</v>
      </c>
      <c r="G99" s="12">
        <f t="shared" si="18"/>
        <v>1.4728494313528125E-2</v>
      </c>
      <c r="H99" s="12">
        <f t="shared" si="19"/>
        <v>7.3413070949031323E-2</v>
      </c>
      <c r="I99" s="12">
        <f t="shared" si="20"/>
        <v>0.91185843473744055</v>
      </c>
      <c r="J99" s="12">
        <f t="shared" si="21"/>
        <v>26.06943493494478</v>
      </c>
      <c r="K99" s="12">
        <f t="shared" si="22"/>
        <v>38.908927602986601</v>
      </c>
      <c r="L99" s="12">
        <f t="shared" si="23"/>
        <v>9.118584347374405</v>
      </c>
      <c r="M99" s="12">
        <f t="shared" si="24"/>
        <v>26.06943493494478</v>
      </c>
      <c r="N99" s="12">
        <f t="shared" si="25"/>
        <v>38.908927602986601</v>
      </c>
      <c r="O99" s="12">
        <f t="shared" si="26"/>
        <v>9.118584347374405</v>
      </c>
    </row>
    <row r="100" spans="1:15" x14ac:dyDescent="0.25">
      <c r="A100">
        <f>A99+dt</f>
        <v>2556.6799999999953</v>
      </c>
      <c r="B100">
        <f t="shared" si="16"/>
        <v>6.9999999999999867</v>
      </c>
      <c r="C100" s="12">
        <f>C99-M99*Q_gw/$B$16*dt</f>
        <v>103.60452990174247</v>
      </c>
      <c r="D100" s="12">
        <f>D99-N99*Q_gw/$B$17*dt</f>
        <v>526.2019411524127</v>
      </c>
      <c r="E100" s="12">
        <f>E99-O99*Q_gw/$B$18*dt</f>
        <v>6576.5944558282608</v>
      </c>
      <c r="F100" s="12">
        <f t="shared" si="17"/>
        <v>7206.4009268824157</v>
      </c>
      <c r="G100" s="12">
        <f t="shared" si="18"/>
        <v>1.4376736869476835E-2</v>
      </c>
      <c r="H100" s="12">
        <f t="shared" si="19"/>
        <v>7.3018688037393809E-2</v>
      </c>
      <c r="I100" s="12">
        <f t="shared" si="20"/>
        <v>0.91260457509312942</v>
      </c>
      <c r="J100" s="12">
        <f t="shared" si="21"/>
        <v>25.446824258973997</v>
      </c>
      <c r="K100" s="12">
        <f t="shared" si="22"/>
        <v>38.699904659818721</v>
      </c>
      <c r="L100" s="12">
        <f t="shared" si="23"/>
        <v>9.1260457509312936</v>
      </c>
      <c r="M100" s="12">
        <f t="shared" si="24"/>
        <v>25.446824258973997</v>
      </c>
      <c r="N100" s="12">
        <f t="shared" si="25"/>
        <v>38.699904659818721</v>
      </c>
      <c r="O100" s="12">
        <f t="shared" si="26"/>
        <v>9.1260457509312936</v>
      </c>
    </row>
    <row r="101" spans="1:15" x14ac:dyDescent="0.25">
      <c r="A101">
        <f>A100+dt</f>
        <v>2593.2039999999952</v>
      </c>
      <c r="B101">
        <f t="shared" si="16"/>
        <v>7.0999999999999863</v>
      </c>
      <c r="C101" s="12">
        <f>C100-M100*Q_gw/$B$16*dt</f>
        <v>101.03404745878844</v>
      </c>
      <c r="D101" s="12">
        <f>D100-N100*Q_gw/$B$17*dt</f>
        <v>522.88695017908185</v>
      </c>
      <c r="E101" s="12">
        <f>E100-O100*Q_gw/$B$18*dt</f>
        <v>6575.8744852870459</v>
      </c>
      <c r="F101" s="12">
        <f t="shared" si="17"/>
        <v>7199.7954829249165</v>
      </c>
      <c r="G101" s="12">
        <f t="shared" si="18"/>
        <v>1.4032905198265904E-2</v>
      </c>
      <c r="H101" s="12">
        <f t="shared" si="19"/>
        <v>7.2625250455955873E-2</v>
      </c>
      <c r="I101" s="12">
        <f t="shared" si="20"/>
        <v>0.91334184434577814</v>
      </c>
      <c r="J101" s="12">
        <f t="shared" si="21"/>
        <v>24.838242200930651</v>
      </c>
      <c r="K101" s="12">
        <f t="shared" si="22"/>
        <v>38.491382741656615</v>
      </c>
      <c r="L101" s="12">
        <f t="shared" si="23"/>
        <v>9.1334184434577814</v>
      </c>
      <c r="M101" s="12">
        <f t="shared" si="24"/>
        <v>24.838242200930651</v>
      </c>
      <c r="N101" s="12">
        <f t="shared" si="25"/>
        <v>38.491382741656615</v>
      </c>
      <c r="O101" s="12">
        <f t="shared" si="26"/>
        <v>9.1334184434577814</v>
      </c>
    </row>
    <row r="102" spans="1:15" x14ac:dyDescent="0.25">
      <c r="A102">
        <f>A101+dt</f>
        <v>2629.7279999999951</v>
      </c>
      <c r="B102">
        <f t="shared" si="16"/>
        <v>7.199999999999986</v>
      </c>
      <c r="C102" s="12">
        <f>C101-M101*Q_gw/$B$16*dt</f>
        <v>98.52504025059757</v>
      </c>
      <c r="D102" s="12">
        <f>D101-N101*Q_gw/$B$17*dt</f>
        <v>519.58982096232444</v>
      </c>
      <c r="E102" s="12">
        <f>E101-O101*Q_gw/$B$18*dt</f>
        <v>6575.1539331005515</v>
      </c>
      <c r="F102" s="12">
        <f t="shared" si="17"/>
        <v>7193.2687943134733</v>
      </c>
      <c r="G102" s="12">
        <f t="shared" si="18"/>
        <v>1.3696838400990244E-2</v>
      </c>
      <c r="H102" s="12">
        <f t="shared" si="19"/>
        <v>7.2232782594344042E-2</v>
      </c>
      <c r="I102" s="12">
        <f t="shared" si="20"/>
        <v>0.9140703790046657</v>
      </c>
      <c r="J102" s="12">
        <f t="shared" si="21"/>
        <v>24.24340396975273</v>
      </c>
      <c r="K102" s="12">
        <f t="shared" si="22"/>
        <v>38.283374775002343</v>
      </c>
      <c r="L102" s="12">
        <f t="shared" si="23"/>
        <v>9.1407037900466577</v>
      </c>
      <c r="M102" s="12">
        <f t="shared" si="24"/>
        <v>24.24340396975273</v>
      </c>
      <c r="N102" s="12">
        <f t="shared" si="25"/>
        <v>38.283374775002343</v>
      </c>
      <c r="O102" s="12">
        <f t="shared" si="26"/>
        <v>9.1407037900466577</v>
      </c>
    </row>
    <row r="103" spans="1:15" x14ac:dyDescent="0.25">
      <c r="A103">
        <f>A102+dt</f>
        <v>2666.251999999995</v>
      </c>
      <c r="B103">
        <f t="shared" si="16"/>
        <v>7.2999999999999856</v>
      </c>
      <c r="C103" s="12">
        <f>C102-M102*Q_gw/$B$16*dt</f>
        <v>96.076119959897056</v>
      </c>
      <c r="D103" s="12">
        <f>D102-N102*Q_gw/$B$17*dt</f>
        <v>516.31050947762355</v>
      </c>
      <c r="E103" s="12">
        <f>E102-O102*Q_gw/$B$18*dt</f>
        <v>6574.4328061596598</v>
      </c>
      <c r="F103" s="12">
        <f t="shared" si="17"/>
        <v>7186.81943559718</v>
      </c>
      <c r="G103" s="12">
        <f t="shared" si="18"/>
        <v>1.3368378156826996E-2</v>
      </c>
      <c r="H103" s="12">
        <f t="shared" si="19"/>
        <v>7.1841308120289701E-2</v>
      </c>
      <c r="I103" s="12">
        <f t="shared" si="20"/>
        <v>0.91479031372288333</v>
      </c>
      <c r="J103" s="12">
        <f t="shared" si="21"/>
        <v>23.662029337583782</v>
      </c>
      <c r="K103" s="12">
        <f t="shared" si="22"/>
        <v>38.075893303753539</v>
      </c>
      <c r="L103" s="12">
        <f t="shared" si="23"/>
        <v>9.147903137228834</v>
      </c>
      <c r="M103" s="12">
        <f t="shared" si="24"/>
        <v>23.662029337583782</v>
      </c>
      <c r="N103" s="12">
        <f t="shared" si="25"/>
        <v>38.075893303753539</v>
      </c>
      <c r="O103" s="12">
        <f t="shared" si="26"/>
        <v>9.147903137228834</v>
      </c>
    </row>
    <row r="104" spans="1:15" x14ac:dyDescent="0.25">
      <c r="A104">
        <f>A103+dt</f>
        <v>2702.7759999999948</v>
      </c>
      <c r="B104">
        <f t="shared" si="16"/>
        <v>7.3999999999999853</v>
      </c>
      <c r="C104" s="12">
        <f>C103-M103*Q_gw/$B$16*dt</f>
        <v>93.685926576317073</v>
      </c>
      <c r="D104" s="12">
        <f>D103-N103*Q_gw/$B$17*dt</f>
        <v>513.04897062596581</v>
      </c>
      <c r="E104" s="12">
        <f>E103-O103*Q_gw/$B$18*dt</f>
        <v>6573.711111249022</v>
      </c>
      <c r="F104" s="12">
        <f t="shared" si="17"/>
        <v>7180.4460084513048</v>
      </c>
      <c r="G104" s="12">
        <f t="shared" si="18"/>
        <v>1.3047368710251394E-2</v>
      </c>
      <c r="H104" s="12">
        <f t="shared" si="19"/>
        <v>7.1450849992063567E-2</v>
      </c>
      <c r="I104" s="12">
        <f t="shared" si="20"/>
        <v>0.915501781297685</v>
      </c>
      <c r="J104" s="12">
        <f t="shared" si="21"/>
        <v>23.093842617144968</v>
      </c>
      <c r="K104" s="12">
        <f t="shared" si="22"/>
        <v>37.86895049579369</v>
      </c>
      <c r="L104" s="12">
        <f t="shared" si="23"/>
        <v>9.1550178129768494</v>
      </c>
      <c r="M104" s="12">
        <f t="shared" si="24"/>
        <v>23.093842617144968</v>
      </c>
      <c r="N104" s="12">
        <f t="shared" si="25"/>
        <v>37.86895049579369</v>
      </c>
      <c r="O104" s="12">
        <f t="shared" si="26"/>
        <v>9.1550178129768494</v>
      </c>
    </row>
    <row r="105" spans="1:15" x14ac:dyDescent="0.25">
      <c r="A105">
        <f>A104+dt</f>
        <v>2739.2999999999947</v>
      </c>
      <c r="B105">
        <f t="shared" si="16"/>
        <v>7.4999999999999858</v>
      </c>
      <c r="C105" s="12">
        <f>C104-M104*Q_gw/$B$16*dt</f>
        <v>91.353127937729383</v>
      </c>
      <c r="D105" s="12">
        <f>D104-N104*Q_gw/$B$17*dt</f>
        <v>509.8051582660504</v>
      </c>
      <c r="E105" s="12">
        <f>E104-O104*Q_gw/$B$18*dt</f>
        <v>6572.9888550485239</v>
      </c>
      <c r="F105" s="12">
        <f t="shared" si="17"/>
        <v>7174.1471412523033</v>
      </c>
      <c r="G105" s="12">
        <f t="shared" si="18"/>
        <v>1.2733656856915675E-2</v>
      </c>
      <c r="H105" s="12">
        <f t="shared" si="19"/>
        <v>7.1061430470892167E-2</v>
      </c>
      <c r="I105" s="12">
        <f t="shared" si="20"/>
        <v>0.91620491267219217</v>
      </c>
      <c r="J105" s="12">
        <f t="shared" si="21"/>
        <v>22.538572636740746</v>
      </c>
      <c r="K105" s="12">
        <f t="shared" si="22"/>
        <v>37.662558149572845</v>
      </c>
      <c r="L105" s="12">
        <f t="shared" si="23"/>
        <v>9.1620491267219215</v>
      </c>
      <c r="M105" s="12">
        <f t="shared" si="24"/>
        <v>22.538572636740746</v>
      </c>
      <c r="N105" s="12">
        <f t="shared" si="25"/>
        <v>37.662558149572845</v>
      </c>
      <c r="O105" s="12">
        <f t="shared" si="26"/>
        <v>9.1620491267219215</v>
      </c>
    </row>
    <row r="106" spans="1:15" x14ac:dyDescent="0.25">
      <c r="A106">
        <f>A105+dt</f>
        <v>2775.8239999999946</v>
      </c>
      <c r="B106">
        <f t="shared" si="16"/>
        <v>7.5999999999999854</v>
      </c>
      <c r="C106" s="12">
        <f>C105-M105*Q_gw/$B$16*dt</f>
        <v>89.076419274110776</v>
      </c>
      <c r="D106" s="12">
        <f>D105-N105*Q_gw/$B$17*dt</f>
        <v>506.57902524593442</v>
      </c>
      <c r="E106" s="12">
        <f>E105-O105*Q_gw/$B$18*dt</f>
        <v>6572.2660441347462</v>
      </c>
      <c r="F106" s="12">
        <f t="shared" si="17"/>
        <v>7167.9214886547916</v>
      </c>
      <c r="G106" s="12">
        <f t="shared" si="18"/>
        <v>1.2427091928266614E-2</v>
      </c>
      <c r="H106" s="12">
        <f t="shared" si="19"/>
        <v>7.0673071133345297E-2</v>
      </c>
      <c r="I106" s="12">
        <f t="shared" si="20"/>
        <v>0.91689983693838806</v>
      </c>
      <c r="J106" s="12">
        <f t="shared" si="21"/>
        <v>21.995952713031908</v>
      </c>
      <c r="K106" s="12">
        <f t="shared" si="22"/>
        <v>37.456727700673007</v>
      </c>
      <c r="L106" s="12">
        <f t="shared" si="23"/>
        <v>9.1689983693838801</v>
      </c>
      <c r="M106" s="12">
        <f t="shared" si="24"/>
        <v>21.995952713031908</v>
      </c>
      <c r="N106" s="12">
        <f t="shared" si="25"/>
        <v>37.456727700673007</v>
      </c>
      <c r="O106" s="12">
        <f t="shared" si="26"/>
        <v>9.1689983693838801</v>
      </c>
    </row>
    <row r="107" spans="1:15" x14ac:dyDescent="0.25">
      <c r="A107">
        <f>A106+dt</f>
        <v>2812.3479999999945</v>
      </c>
      <c r="B107">
        <f t="shared" si="16"/>
        <v>7.6999999999999851</v>
      </c>
      <c r="C107" s="12">
        <f>C106-M106*Q_gw/$B$16*dt</f>
        <v>86.854522754156775</v>
      </c>
      <c r="D107" s="12">
        <f>D106-N106*Q_gw/$B$17*dt</f>
        <v>503.37052343411568</v>
      </c>
      <c r="E107" s="12">
        <f>E106-O106*Q_gw/$B$18*dt</f>
        <v>6571.5426849824289</v>
      </c>
      <c r="F107" s="12">
        <f t="shared" si="17"/>
        <v>7161.7677311707012</v>
      </c>
      <c r="G107" s="12">
        <f t="shared" si="18"/>
        <v>1.2127525774974982E-2</v>
      </c>
      <c r="H107" s="12">
        <f t="shared" si="19"/>
        <v>7.0285792883684042E-2</v>
      </c>
      <c r="I107" s="12">
        <f t="shared" si="20"/>
        <v>0.91758668134134103</v>
      </c>
      <c r="J107" s="12">
        <f t="shared" si="21"/>
        <v>21.465720621705717</v>
      </c>
      <c r="K107" s="12">
        <f t="shared" si="22"/>
        <v>37.251470228352545</v>
      </c>
      <c r="L107" s="12">
        <f t="shared" si="23"/>
        <v>9.1758668134134105</v>
      </c>
      <c r="M107" s="12">
        <f t="shared" si="24"/>
        <v>21.465720621705717</v>
      </c>
      <c r="N107" s="12">
        <f t="shared" si="25"/>
        <v>37.251470228352545</v>
      </c>
      <c r="O107" s="12">
        <f t="shared" si="26"/>
        <v>9.1758668134134105</v>
      </c>
    </row>
    <row r="108" spans="1:15" x14ac:dyDescent="0.25">
      <c r="A108">
        <f>A107+dt</f>
        <v>2848.8719999999944</v>
      </c>
      <c r="B108">
        <f t="shared" si="16"/>
        <v>7.7999999999999847</v>
      </c>
      <c r="C108" s="12">
        <f>C107-M107*Q_gw/$B$16*dt</f>
        <v>84.686187034858051</v>
      </c>
      <c r="D108" s="12">
        <f>D107-N107*Q_gw/$B$17*dt</f>
        <v>500.17960375005492</v>
      </c>
      <c r="E108" s="12">
        <f>E107-O107*Q_gw/$B$18*dt</f>
        <v>6570.818783965924</v>
      </c>
      <c r="F108" s="12">
        <f t="shared" si="17"/>
        <v>7155.6845747508369</v>
      </c>
      <c r="G108" s="12">
        <f t="shared" si="18"/>
        <v>1.1834812749247943E-2</v>
      </c>
      <c r="H108" s="12">
        <f t="shared" si="19"/>
        <v>6.9899615966159512E-2</v>
      </c>
      <c r="I108" s="12">
        <f t="shared" si="20"/>
        <v>0.91826557128459252</v>
      </c>
      <c r="J108" s="12">
        <f t="shared" si="21"/>
        <v>20.94761856616886</v>
      </c>
      <c r="K108" s="12">
        <f t="shared" si="22"/>
        <v>37.046796462064542</v>
      </c>
      <c r="L108" s="12">
        <f t="shared" si="23"/>
        <v>9.182655712845925</v>
      </c>
      <c r="M108" s="12">
        <f t="shared" si="24"/>
        <v>20.94761856616886</v>
      </c>
      <c r="N108" s="12">
        <f t="shared" si="25"/>
        <v>37.046796462064542</v>
      </c>
      <c r="O108" s="12">
        <f t="shared" si="26"/>
        <v>9.182655712845925</v>
      </c>
    </row>
    <row r="109" spans="1:15" x14ac:dyDescent="0.25">
      <c r="A109">
        <f>A108+dt</f>
        <v>2885.3959999999943</v>
      </c>
      <c r="B109">
        <f t="shared" si="16"/>
        <v>7.8999999999999844</v>
      </c>
      <c r="C109" s="12">
        <f>C108-M108*Q_gw/$B$16*dt</f>
        <v>82.570186814239321</v>
      </c>
      <c r="D109" s="12">
        <f>D108-N108*Q_gw/$B$17*dt</f>
        <v>497.00621619413988</v>
      </c>
      <c r="E109" s="12">
        <f>E108-O108*Q_gw/$B$18*dt</f>
        <v>6570.0943473606512</v>
      </c>
      <c r="F109" s="12">
        <f t="shared" si="17"/>
        <v>7149.6707503690304</v>
      </c>
      <c r="G109" s="12">
        <f t="shared" si="18"/>
        <v>1.1548809686093231E-2</v>
      </c>
      <c r="H109" s="12">
        <f t="shared" si="19"/>
        <v>6.951455997725306E-2</v>
      </c>
      <c r="I109" s="12">
        <f t="shared" si="20"/>
        <v>0.91893663033665374</v>
      </c>
      <c r="J109" s="12">
        <f t="shared" si="21"/>
        <v>20.441393144385017</v>
      </c>
      <c r="K109" s="12">
        <f t="shared" si="22"/>
        <v>36.84271678794412</v>
      </c>
      <c r="L109" s="12">
        <f t="shared" si="23"/>
        <v>9.1893663033665369</v>
      </c>
      <c r="M109" s="12">
        <f t="shared" si="24"/>
        <v>20.441393144385017</v>
      </c>
      <c r="N109" s="12">
        <f t="shared" si="25"/>
        <v>36.84271678794412</v>
      </c>
      <c r="O109" s="12">
        <f t="shared" si="26"/>
        <v>9.1893663033665369</v>
      </c>
    </row>
    <row r="110" spans="1:15" x14ac:dyDescent="0.25">
      <c r="A110">
        <f>A109+dt</f>
        <v>2921.9199999999942</v>
      </c>
      <c r="B110">
        <f t="shared" si="16"/>
        <v>7.999999999999984</v>
      </c>
      <c r="C110" s="12">
        <f>C109-M109*Q_gw/$B$16*dt</f>
        <v>80.505322387448132</v>
      </c>
      <c r="D110" s="12">
        <f>D109-N109*Q_gw/$B$17*dt</f>
        <v>493.85030987709342</v>
      </c>
      <c r="E110" s="12">
        <f>E109-O109*Q_gw/$B$18*dt</f>
        <v>6569.3693813445443</v>
      </c>
      <c r="F110" s="12">
        <f t="shared" si="17"/>
        <v>7143.7250136090861</v>
      </c>
      <c r="G110" s="12">
        <f t="shared" si="18"/>
        <v>1.1269375883601654E-2</v>
      </c>
      <c r="H110" s="12">
        <f t="shared" si="19"/>
        <v>6.9130643877849243E-2</v>
      </c>
      <c r="I110" s="12">
        <f t="shared" si="20"/>
        <v>0.91959998023854905</v>
      </c>
      <c r="J110" s="12">
        <f t="shared" si="21"/>
        <v>19.946795313974928</v>
      </c>
      <c r="K110" s="12">
        <f t="shared" si="22"/>
        <v>36.639241255260096</v>
      </c>
      <c r="L110" s="12">
        <f t="shared" si="23"/>
        <v>9.1959998023854901</v>
      </c>
      <c r="M110" s="12">
        <f t="shared" si="24"/>
        <v>19.946795313974928</v>
      </c>
      <c r="N110" s="12">
        <f t="shared" si="25"/>
        <v>36.639241255260096</v>
      </c>
      <c r="O110" s="12">
        <f t="shared" si="26"/>
        <v>9.1959998023854901</v>
      </c>
    </row>
    <row r="111" spans="1:15" x14ac:dyDescent="0.25">
      <c r="A111">
        <f>A110+dt</f>
        <v>2958.443999999994</v>
      </c>
      <c r="B111">
        <f t="shared" si="16"/>
        <v>8.0999999999999837</v>
      </c>
      <c r="C111" s="12">
        <f>C110-M110*Q_gw/$B$16*dt</f>
        <v>78.490419206368927</v>
      </c>
      <c r="D111" s="12">
        <f>D110-N110*Q_gw/$B$17*dt</f>
        <v>490.71183304882919</v>
      </c>
      <c r="E111" s="12">
        <f>E110-O110*Q_gw/$B$18*dt</f>
        <v>6568.6438919994944</v>
      </c>
      <c r="F111" s="12">
        <f t="shared" si="17"/>
        <v>7137.8461442546923</v>
      </c>
      <c r="G111" s="12">
        <f t="shared" si="18"/>
        <v>1.0996373082312298E-2</v>
      </c>
      <c r="H111" s="12">
        <f t="shared" si="19"/>
        <v>6.874788600533327E-2</v>
      </c>
      <c r="I111" s="12">
        <f t="shared" si="20"/>
        <v>0.92025574091235451</v>
      </c>
      <c r="J111" s="12">
        <f t="shared" si="21"/>
        <v>19.463580355692766</v>
      </c>
      <c r="K111" s="12">
        <f t="shared" si="22"/>
        <v>36.436379582826632</v>
      </c>
      <c r="L111" s="12">
        <f t="shared" si="23"/>
        <v>9.2025574091235445</v>
      </c>
      <c r="M111" s="12">
        <f t="shared" si="24"/>
        <v>19.463580355692766</v>
      </c>
      <c r="N111" s="12">
        <f t="shared" si="25"/>
        <v>36.436379582826632</v>
      </c>
      <c r="O111" s="12">
        <f t="shared" si="26"/>
        <v>9.2025574091235445</v>
      </c>
    </row>
    <row r="112" spans="1:15" x14ac:dyDescent="0.25">
      <c r="A112">
        <f>A111+dt</f>
        <v>2994.9679999999939</v>
      </c>
      <c r="B112">
        <f t="shared" si="16"/>
        <v>8.1999999999999833</v>
      </c>
      <c r="C112" s="12">
        <f>C111-M111*Q_gw/$B$16*dt</f>
        <v>76.524327442926605</v>
      </c>
      <c r="D112" s="12">
        <f>D111-N111*Q_gw/$B$17*dt</f>
        <v>487.59073312675793</v>
      </c>
      <c r="E112" s="12">
        <f>E111-O111*Q_gw/$B$18*dt</f>
        <v>6567.9178853127833</v>
      </c>
      <c r="F112" s="12">
        <f t="shared" si="17"/>
        <v>7132.0329458824681</v>
      </c>
      <c r="G112" s="12">
        <f t="shared" si="18"/>
        <v>1.0729665443722655E-2</v>
      </c>
      <c r="H112" s="12">
        <f t="shared" si="19"/>
        <v>6.8366304085605539E-2</v>
      </c>
      <c r="I112" s="12">
        <f t="shared" si="20"/>
        <v>0.92090403047067171</v>
      </c>
      <c r="J112" s="12">
        <f t="shared" si="21"/>
        <v>18.9915078353891</v>
      </c>
      <c r="K112" s="12">
        <f t="shared" si="22"/>
        <v>36.234141165370936</v>
      </c>
      <c r="L112" s="12">
        <f t="shared" si="23"/>
        <v>9.2090403047067166</v>
      </c>
      <c r="M112" s="12">
        <f t="shared" si="24"/>
        <v>18.9915078353891</v>
      </c>
      <c r="N112" s="12">
        <f t="shared" si="25"/>
        <v>36.234141165370936</v>
      </c>
      <c r="O112" s="12">
        <f t="shared" si="26"/>
        <v>9.2090403047067166</v>
      </c>
    </row>
    <row r="113" spans="1:15" x14ac:dyDescent="0.25">
      <c r="A113">
        <f>A112+dt</f>
        <v>3031.4919999999938</v>
      </c>
      <c r="B113">
        <f t="shared" si="16"/>
        <v>8.2999999999999829</v>
      </c>
      <c r="C113" s="12">
        <f>C112-M112*Q_gw/$B$16*dt</f>
        <v>74.605921556232289</v>
      </c>
      <c r="D113" s="12">
        <f>D112-N112*Q_gw/$B$17*dt</f>
        <v>484.48695672354853</v>
      </c>
      <c r="E113" s="12">
        <f>E112-O112*Q_gw/$B$18*dt</f>
        <v>6567.1913671785105</v>
      </c>
      <c r="F113" s="12">
        <f t="shared" si="17"/>
        <v>7126.2842454582915</v>
      </c>
      <c r="G113" s="12">
        <f t="shared" si="18"/>
        <v>1.0469119528003669E-2</v>
      </c>
      <c r="H113" s="12">
        <f t="shared" si="19"/>
        <v>6.798591524500594E-2</v>
      </c>
      <c r="I113" s="12">
        <f t="shared" si="20"/>
        <v>0.92154496522699036</v>
      </c>
      <c r="J113" s="12">
        <f t="shared" si="21"/>
        <v>18.530341564566495</v>
      </c>
      <c r="K113" s="12">
        <f t="shared" si="22"/>
        <v>36.032535079853147</v>
      </c>
      <c r="L113" s="12">
        <f t="shared" si="23"/>
        <v>9.2154496522699034</v>
      </c>
      <c r="M113" s="12">
        <f t="shared" si="24"/>
        <v>18.530341564566495</v>
      </c>
      <c r="N113" s="12">
        <f t="shared" si="25"/>
        <v>36.032535079853147</v>
      </c>
      <c r="O113" s="12">
        <f t="shared" si="26"/>
        <v>9.2154496522699034</v>
      </c>
    </row>
    <row r="114" spans="1:15" x14ac:dyDescent="0.25">
      <c r="A114">
        <f>A113+dt</f>
        <v>3068.0159999999937</v>
      </c>
      <c r="B114">
        <f t="shared" si="16"/>
        <v>8.3999999999999826</v>
      </c>
      <c r="C114" s="12">
        <f>C113-M113*Q_gw/$B$16*dt</f>
        <v>72.734099863713553</v>
      </c>
      <c r="D114" s="12">
        <f>D113-N113*Q_gw/$B$17*dt</f>
        <v>481.4004496743475</v>
      </c>
      <c r="E114" s="12">
        <f>E113-O113*Q_gw/$B$18*dt</f>
        <v>6566.4643433990159</v>
      </c>
      <c r="F114" s="12">
        <f t="shared" si="17"/>
        <v>7120.5988929370769</v>
      </c>
      <c r="G114" s="12">
        <f t="shared" si="18"/>
        <v>1.0214604270977616E-2</v>
      </c>
      <c r="H114" s="12">
        <f t="shared" si="19"/>
        <v>6.7606736022141151E-2</v>
      </c>
      <c r="I114" s="12">
        <f t="shared" si="20"/>
        <v>0.92217865970688129</v>
      </c>
      <c r="J114" s="12">
        <f t="shared" si="21"/>
        <v>18.079849559630379</v>
      </c>
      <c r="K114" s="12">
        <f t="shared" si="22"/>
        <v>35.831570091734811</v>
      </c>
      <c r="L114" s="12">
        <f t="shared" si="23"/>
        <v>9.2217865970688138</v>
      </c>
      <c r="M114" s="12">
        <f t="shared" si="24"/>
        <v>18.079849559630379</v>
      </c>
      <c r="N114" s="12">
        <f t="shared" si="25"/>
        <v>35.831570091734811</v>
      </c>
      <c r="O114" s="12">
        <f t="shared" si="26"/>
        <v>9.2217865970688138</v>
      </c>
    </row>
    <row r="115" spans="1:15" x14ac:dyDescent="0.25">
      <c r="A115">
        <f>A114+dt</f>
        <v>3104.5399999999936</v>
      </c>
      <c r="B115">
        <f t="shared" si="16"/>
        <v>8.4999999999999822</v>
      </c>
      <c r="C115" s="12">
        <f>C114-M114*Q_gw/$B$16*dt</f>
        <v>70.907784116360887</v>
      </c>
      <c r="D115" s="12">
        <f>D114-N114*Q_gw/$B$17*dt</f>
        <v>478.3311570634616</v>
      </c>
      <c r="E115" s="12">
        <f>E114-O114*Q_gw/$B$18*dt</f>
        <v>6565.7368196862853</v>
      </c>
      <c r="F115" s="12">
        <f t="shared" si="17"/>
        <v>7114.9757608661075</v>
      </c>
      <c r="G115" s="12">
        <f t="shared" si="18"/>
        <v>9.9659909604146377E-3</v>
      </c>
      <c r="H115" s="12">
        <f t="shared" si="19"/>
        <v>6.722878237960915E-2</v>
      </c>
      <c r="I115" s="12">
        <f t="shared" si="20"/>
        <v>0.92280522665997622</v>
      </c>
      <c r="J115" s="12">
        <f t="shared" si="21"/>
        <v>17.639803999933907</v>
      </c>
      <c r="K115" s="12">
        <f t="shared" si="22"/>
        <v>35.631254661192848</v>
      </c>
      <c r="L115" s="12">
        <f t="shared" si="23"/>
        <v>9.2280522665997626</v>
      </c>
      <c r="M115" s="12">
        <f t="shared" si="24"/>
        <v>17.639803999933907</v>
      </c>
      <c r="N115" s="12">
        <f t="shared" si="25"/>
        <v>35.631254661192848</v>
      </c>
      <c r="O115" s="12">
        <f t="shared" si="26"/>
        <v>9.2280522665997626</v>
      </c>
    </row>
    <row r="116" spans="1:15" x14ac:dyDescent="0.25">
      <c r="A116">
        <f>A115+dt</f>
        <v>3141.0639999999935</v>
      </c>
      <c r="B116">
        <f t="shared" si="16"/>
        <v>8.5999999999999819</v>
      </c>
      <c r="C116" s="12">
        <f>C115-M115*Q_gw/$B$16*dt</f>
        <v>69.125919078212178</v>
      </c>
      <c r="D116" s="12">
        <f>D115-N115*Q_gw/$B$17*dt</f>
        <v>475.2790232505082</v>
      </c>
      <c r="E116" s="12">
        <f>E115-O115*Q_gw/$B$18*dt</f>
        <v>6565.0088016633572</v>
      </c>
      <c r="F116" s="12">
        <f t="shared" si="17"/>
        <v>7109.4137439920778</v>
      </c>
      <c r="G116" s="12">
        <f t="shared" si="18"/>
        <v>9.7231532117016163E-3</v>
      </c>
      <c r="H116" s="12">
        <f t="shared" si="19"/>
        <v>6.6852069715614776E-2</v>
      </c>
      <c r="I116" s="12">
        <f t="shared" si="20"/>
        <v>0.92342477707268356</v>
      </c>
      <c r="J116" s="12">
        <f t="shared" si="21"/>
        <v>17.209981184711861</v>
      </c>
      <c r="K116" s="12">
        <f t="shared" si="22"/>
        <v>35.431596949275828</v>
      </c>
      <c r="L116" s="12">
        <f t="shared" si="23"/>
        <v>9.2342477707268351</v>
      </c>
      <c r="M116" s="12">
        <f t="shared" si="24"/>
        <v>17.209981184711861</v>
      </c>
      <c r="N116" s="12">
        <f t="shared" si="25"/>
        <v>35.431596949275828</v>
      </c>
      <c r="O116" s="12">
        <f t="shared" si="26"/>
        <v>9.2342477707268351</v>
      </c>
    </row>
    <row r="117" spans="1:15" x14ac:dyDescent="0.25">
      <c r="A117">
        <f>A116+dt</f>
        <v>3177.5879999999934</v>
      </c>
      <c r="B117">
        <f t="shared" si="16"/>
        <v>8.6999999999999815</v>
      </c>
      <c r="C117" s="12">
        <f>C116-M116*Q_gw/$B$16*dt</f>
        <v>67.387472110187474</v>
      </c>
      <c r="D117" s="12">
        <f>D116-N116*Q_gw/$B$17*dt</f>
        <v>472.24399189603832</v>
      </c>
      <c r="E117" s="12">
        <f>E116-O116*Q_gw/$B$18*dt</f>
        <v>6564.280294865709</v>
      </c>
      <c r="F117" s="12">
        <f t="shared" si="17"/>
        <v>7103.9117588719346</v>
      </c>
      <c r="G117" s="12">
        <f t="shared" si="18"/>
        <v>9.4859669429351503E-3</v>
      </c>
      <c r="H117" s="12">
        <f t="shared" si="19"/>
        <v>6.6476612875471339E-2</v>
      </c>
      <c r="I117" s="12">
        <f t="shared" si="20"/>
        <v>0.92403742018159352</v>
      </c>
      <c r="J117" s="12">
        <f t="shared" si="21"/>
        <v>16.790161488995217</v>
      </c>
      <c r="K117" s="12">
        <f t="shared" si="22"/>
        <v>35.232604823999807</v>
      </c>
      <c r="L117" s="12">
        <f t="shared" si="23"/>
        <v>9.2403742018159356</v>
      </c>
      <c r="M117" s="12">
        <f t="shared" si="24"/>
        <v>16.790161488995217</v>
      </c>
      <c r="N117" s="12">
        <f t="shared" si="25"/>
        <v>35.232604823999807</v>
      </c>
      <c r="O117" s="12">
        <f t="shared" si="26"/>
        <v>9.2403742018159356</v>
      </c>
    </row>
    <row r="118" spans="1:15" x14ac:dyDescent="0.25">
      <c r="A118">
        <f>A117+dt</f>
        <v>3214.1119999999933</v>
      </c>
      <c r="B118">
        <f t="shared" si="16"/>
        <v>8.7999999999999812</v>
      </c>
      <c r="C118" s="12">
        <f>C117-M117*Q_gw/$B$16*dt</f>
        <v>65.691432758377005</v>
      </c>
      <c r="D118" s="12">
        <f>D117-N117*Q_gw/$B$17*dt</f>
        <v>469.22600598663746</v>
      </c>
      <c r="E118" s="12">
        <f>E117-O117*Q_gw/$B$18*dt</f>
        <v>6563.5513047426393</v>
      </c>
      <c r="F118" s="12">
        <f t="shared" si="17"/>
        <v>7098.4687434876541</v>
      </c>
      <c r="G118" s="12">
        <f t="shared" si="18"/>
        <v>9.2543103494882994E-3</v>
      </c>
      <c r="H118" s="12">
        <f t="shared" si="19"/>
        <v>6.6102426162983299E-2</v>
      </c>
      <c r="I118" s="12">
        <f t="shared" si="20"/>
        <v>0.92464326348752834</v>
      </c>
      <c r="J118" s="12">
        <f t="shared" si="21"/>
        <v>16.380129318594289</v>
      </c>
      <c r="K118" s="12">
        <f t="shared" si="22"/>
        <v>35.034285866381147</v>
      </c>
      <c r="L118" s="12">
        <f t="shared" si="23"/>
        <v>9.2464326348752834</v>
      </c>
      <c r="M118" s="12">
        <f t="shared" si="24"/>
        <v>16.380129318594289</v>
      </c>
      <c r="N118" s="12">
        <f t="shared" si="25"/>
        <v>35.034285866381147</v>
      </c>
      <c r="O118" s="12">
        <f t="shared" si="26"/>
        <v>9.2464326348752834</v>
      </c>
    </row>
    <row r="119" spans="1:15" x14ac:dyDescent="0.25">
      <c r="A119">
        <f>A118+dt</f>
        <v>3250.6359999999931</v>
      </c>
      <c r="B119">
        <f t="shared" si="16"/>
        <v>8.8999999999999808</v>
      </c>
      <c r="C119" s="12">
        <f>C118-M118*Q_gw/$B$16*dt</f>
        <v>64.036812346876559</v>
      </c>
      <c r="D119" s="12">
        <f>D118-N118*Q_gw/$B$17*dt</f>
        <v>466.22500785950956</v>
      </c>
      <c r="E119" s="12">
        <f>E118-O118*Q_gw/$B$18*dt</f>
        <v>6562.8218366586379</v>
      </c>
      <c r="F119" s="12">
        <f t="shared" si="17"/>
        <v>7093.0836568650238</v>
      </c>
      <c r="G119" s="12">
        <f t="shared" si="18"/>
        <v>9.028063878098869E-3</v>
      </c>
      <c r="H119" s="12">
        <f t="shared" si="19"/>
        <v>6.5729523351705413E-2</v>
      </c>
      <c r="I119" s="12">
        <f t="shared" si="20"/>
        <v>0.92524241277019581</v>
      </c>
      <c r="J119" s="12">
        <f t="shared" si="21"/>
        <v>15.979673064234998</v>
      </c>
      <c r="K119" s="12">
        <f t="shared" si="22"/>
        <v>34.836647376403867</v>
      </c>
      <c r="L119" s="12">
        <f t="shared" si="23"/>
        <v>9.2524241277019588</v>
      </c>
      <c r="M119" s="12">
        <f t="shared" si="24"/>
        <v>15.979673064234998</v>
      </c>
      <c r="N119" s="12">
        <f t="shared" si="25"/>
        <v>34.836647376403867</v>
      </c>
      <c r="O119" s="12">
        <f t="shared" si="26"/>
        <v>9.2524241277019588</v>
      </c>
    </row>
    <row r="120" spans="1:15" x14ac:dyDescent="0.25">
      <c r="A120">
        <f>A119+dt</f>
        <v>3287.159999999993</v>
      </c>
      <c r="B120">
        <f t="shared" si="16"/>
        <v>8.9999999999999805</v>
      </c>
      <c r="C120" s="12">
        <f>C119-M119*Q_gw/$B$16*dt</f>
        <v>62.422643575255641</v>
      </c>
      <c r="D120" s="12">
        <f>D119-N119*Q_gw/$B$17*dt</f>
        <v>463.2409392265501</v>
      </c>
      <c r="E120" s="12">
        <f>E119-O119*Q_gw/$B$18*dt</f>
        <v>6562.0918958947432</v>
      </c>
      <c r="F120" s="12">
        <f t="shared" si="17"/>
        <v>7087.7554786965493</v>
      </c>
      <c r="G120" s="12">
        <f t="shared" si="18"/>
        <v>8.8071102005250427E-3</v>
      </c>
      <c r="H120" s="12">
        <f t="shared" si="19"/>
        <v>6.5357917696074491E-2</v>
      </c>
      <c r="I120" s="12">
        <f t="shared" si="20"/>
        <v>0.92583497210340038</v>
      </c>
      <c r="J120" s="12">
        <f t="shared" si="21"/>
        <v>15.588585054929325</v>
      </c>
      <c r="K120" s="12">
        <f t="shared" si="22"/>
        <v>34.639696378919481</v>
      </c>
      <c r="L120" s="12">
        <f t="shared" si="23"/>
        <v>9.2583497210340031</v>
      </c>
      <c r="M120" s="12">
        <f t="shared" si="24"/>
        <v>15.588585054929325</v>
      </c>
      <c r="N120" s="12">
        <f t="shared" si="25"/>
        <v>34.639696378919481</v>
      </c>
      <c r="O120" s="12">
        <f t="shared" si="26"/>
        <v>9.2583497210340031</v>
      </c>
    </row>
    <row r="121" spans="1:15" x14ac:dyDescent="0.25">
      <c r="A121">
        <f>A120+dt</f>
        <v>3323.6839999999929</v>
      </c>
      <c r="B121">
        <f t="shared" si="16"/>
        <v>9.0999999999999801</v>
      </c>
      <c r="C121" s="12">
        <f>C120-M120*Q_gw/$B$16*dt</f>
        <v>60.847980120735954</v>
      </c>
      <c r="D121" s="12">
        <f>D120-N120*Q_gw/$B$17*dt</f>
        <v>460.27374119791352</v>
      </c>
      <c r="E121" s="12">
        <f>E120-O120*Q_gw/$B$18*dt</f>
        <v>6561.3614876498877</v>
      </c>
      <c r="F121" s="12">
        <f t="shared" si="17"/>
        <v>7082.4832089685369</v>
      </c>
      <c r="G121" s="12">
        <f t="shared" si="18"/>
        <v>8.5913341868123685E-3</v>
      </c>
      <c r="H121" s="12">
        <f t="shared" si="19"/>
        <v>6.4987621942409923E-2</v>
      </c>
      <c r="I121" s="12">
        <f t="shared" si="20"/>
        <v>0.92642104387077773</v>
      </c>
      <c r="J121" s="12">
        <f t="shared" si="21"/>
        <v>15.206661510657892</v>
      </c>
      <c r="K121" s="12">
        <f t="shared" si="22"/>
        <v>34.443439629477261</v>
      </c>
      <c r="L121" s="12">
        <f t="shared" si="23"/>
        <v>9.2642104387077779</v>
      </c>
      <c r="M121" s="12">
        <f t="shared" si="24"/>
        <v>15.206661510657892</v>
      </c>
      <c r="N121" s="12">
        <f t="shared" si="25"/>
        <v>34.443439629477261</v>
      </c>
      <c r="O121" s="12">
        <f t="shared" si="26"/>
        <v>9.2642104387077779</v>
      </c>
    </row>
    <row r="122" spans="1:15" x14ac:dyDescent="0.25">
      <c r="A122">
        <f>A121+dt</f>
        <v>3360.2079999999928</v>
      </c>
      <c r="B122">
        <f t="shared" si="16"/>
        <v>9.1999999999999797</v>
      </c>
      <c r="C122" s="12">
        <f>C121-M121*Q_gw/$B$16*dt</f>
        <v>59.311896245149555</v>
      </c>
      <c r="D122" s="12">
        <f>D121-N121*Q_gw/$B$17*dt</f>
        <v>457.32335430508141</v>
      </c>
      <c r="E122" s="12">
        <f>E121-O121*Q_gw/$B$18*dt</f>
        <v>6560.6306170422313</v>
      </c>
      <c r="F122" s="12">
        <f t="shared" si="17"/>
        <v>7077.2658675924622</v>
      </c>
      <c r="G122" s="12">
        <f t="shared" si="18"/>
        <v>8.3806228782141567E-3</v>
      </c>
      <c r="H122" s="12">
        <f t="shared" si="19"/>
        <v>6.4618648339779441E-2</v>
      </c>
      <c r="I122" s="12">
        <f t="shared" si="20"/>
        <v>0.92700072878200646</v>
      </c>
      <c r="J122" s="12">
        <f t="shared" si="21"/>
        <v>14.833702494439057</v>
      </c>
      <c r="K122" s="12">
        <f t="shared" si="22"/>
        <v>34.247883620083101</v>
      </c>
      <c r="L122" s="12">
        <f t="shared" si="23"/>
        <v>9.2700072878200643</v>
      </c>
      <c r="M122" s="12">
        <f t="shared" si="24"/>
        <v>14.833702494439057</v>
      </c>
      <c r="N122" s="12">
        <f t="shared" si="25"/>
        <v>34.247883620083101</v>
      </c>
      <c r="O122" s="12">
        <f t="shared" si="26"/>
        <v>9.2700072878200643</v>
      </c>
    </row>
    <row r="123" spans="1:15" x14ac:dyDescent="0.25">
      <c r="A123">
        <f>A122+dt</f>
        <v>3396.7319999999927</v>
      </c>
      <c r="B123">
        <f t="shared" si="16"/>
        <v>9.2999999999999794</v>
      </c>
      <c r="C123" s="12">
        <f>C122-M122*Q_gw/$B$16*dt</f>
        <v>57.81348640673869</v>
      </c>
      <c r="D123" s="12">
        <f>D122-N122*Q_gw/$B$17*dt</f>
        <v>454.3897185234373</v>
      </c>
      <c r="E123" s="12">
        <f>E122-O122*Q_gw/$B$18*dt</f>
        <v>6559.8992891104817</v>
      </c>
      <c r="F123" s="12">
        <f t="shared" si="17"/>
        <v>7072.1024940406578</v>
      </c>
      <c r="G123" s="12">
        <f t="shared" si="18"/>
        <v>8.1748654598056952E-3</v>
      </c>
      <c r="H123" s="12">
        <f t="shared" si="19"/>
        <v>6.4251008650727429E-2</v>
      </c>
      <c r="I123" s="12">
        <f t="shared" si="20"/>
        <v>0.92757412588946686</v>
      </c>
      <c r="J123" s="12">
        <f t="shared" si="21"/>
        <v>14.469511863856081</v>
      </c>
      <c r="K123" s="12">
        <f t="shared" si="22"/>
        <v>34.053034584885538</v>
      </c>
      <c r="L123" s="12">
        <f t="shared" si="23"/>
        <v>9.2757412588946693</v>
      </c>
      <c r="M123" s="12">
        <f t="shared" si="24"/>
        <v>14.469511863856081</v>
      </c>
      <c r="N123" s="12">
        <f t="shared" si="25"/>
        <v>34.053034584885538</v>
      </c>
      <c r="O123" s="12">
        <f t="shared" si="26"/>
        <v>9.2757412588946693</v>
      </c>
    </row>
    <row r="124" spans="1:15" x14ac:dyDescent="0.25">
      <c r="A124">
        <f>A123+dt</f>
        <v>3433.2559999999926</v>
      </c>
      <c r="B124">
        <f t="shared" si="16"/>
        <v>9.399999999999979</v>
      </c>
      <c r="C124" s="12">
        <f>C123-M123*Q_gw/$B$16*dt</f>
        <v>56.35186487685209</v>
      </c>
      <c r="D124" s="12">
        <f>D123-N123*Q_gw/$B$17*dt</f>
        <v>451.47277329435451</v>
      </c>
      <c r="E124" s="12">
        <f>E123-O123*Q_gw/$B$18*dt</f>
        <v>6559.1675088152033</v>
      </c>
      <c r="F124" s="12">
        <f t="shared" si="17"/>
        <v>7066.9921469864103</v>
      </c>
      <c r="G124" s="12">
        <f t="shared" si="18"/>
        <v>7.97395323283079E-3</v>
      </c>
      <c r="H124" s="12">
        <f t="shared" si="19"/>
        <v>6.3884714161862602E-2</v>
      </c>
      <c r="I124" s="12">
        <f t="shared" si="20"/>
        <v>0.92814133260530651</v>
      </c>
      <c r="J124" s="12">
        <f t="shared" si="21"/>
        <v>14.113897222110499</v>
      </c>
      <c r="K124" s="12">
        <f t="shared" si="22"/>
        <v>33.858898505787181</v>
      </c>
      <c r="L124" s="12">
        <f t="shared" si="23"/>
        <v>9.281413326053066</v>
      </c>
      <c r="M124" s="12">
        <f t="shared" si="24"/>
        <v>14.113897222110499</v>
      </c>
      <c r="N124" s="12">
        <f t="shared" si="25"/>
        <v>33.858898505787181</v>
      </c>
      <c r="O124" s="12">
        <f t="shared" si="26"/>
        <v>9.281413326053066</v>
      </c>
    </row>
    <row r="125" spans="1:15" x14ac:dyDescent="0.25">
      <c r="A125">
        <f>A124+dt</f>
        <v>3469.7799999999925</v>
      </c>
      <c r="B125">
        <f t="shared" si="16"/>
        <v>9.4999999999999787</v>
      </c>
      <c r="C125" s="12">
        <f>C124-M124*Q_gw/$B$16*dt</f>
        <v>54.926165361585525</v>
      </c>
      <c r="D125" s="12">
        <f>D124-N124*Q_gw/$B$17*dt</f>
        <v>448.57245754680315</v>
      </c>
      <c r="E125" s="12">
        <f>E124-O124*Q_gw/$B$18*dt</f>
        <v>6558.4352810401106</v>
      </c>
      <c r="F125" s="12">
        <f t="shared" si="17"/>
        <v>7061.9339039484994</v>
      </c>
      <c r="G125" s="12">
        <f t="shared" si="18"/>
        <v>7.7777795868175671E-3</v>
      </c>
      <c r="H125" s="12">
        <f t="shared" si="19"/>
        <v>6.3519775694303129E-2</v>
      </c>
      <c r="I125" s="12">
        <f t="shared" si="20"/>
        <v>0.92870244471887931</v>
      </c>
      <c r="J125" s="12">
        <f t="shared" si="21"/>
        <v>13.766669868667094</v>
      </c>
      <c r="K125" s="12">
        <f t="shared" si="22"/>
        <v>33.665481117980661</v>
      </c>
      <c r="L125" s="12">
        <f t="shared" si="23"/>
        <v>9.2870244471887933</v>
      </c>
      <c r="M125" s="12">
        <f t="shared" si="24"/>
        <v>13.766669868667094</v>
      </c>
      <c r="N125" s="12">
        <f t="shared" si="25"/>
        <v>33.665481117980661</v>
      </c>
      <c r="O125" s="12">
        <f t="shared" si="26"/>
        <v>9.2870244471887933</v>
      </c>
    </row>
    <row r="126" spans="1:15" x14ac:dyDescent="0.25">
      <c r="A126">
        <f>A125+dt</f>
        <v>3506.3039999999924</v>
      </c>
      <c r="B126">
        <f t="shared" si="16"/>
        <v>9.5999999999999783</v>
      </c>
      <c r="C126" s="12">
        <f>C125-M125*Q_gw/$B$16*dt</f>
        <v>53.535540628407922</v>
      </c>
      <c r="D126" s="12">
        <f>D125-N125*Q_gw/$B$17*dt</f>
        <v>445.6887097184831</v>
      </c>
      <c r="E126" s="12">
        <f>E125-O125*Q_gw/$B$18*dt</f>
        <v>6557.7026105933464</v>
      </c>
      <c r="F126" s="12">
        <f t="shared" si="17"/>
        <v>7056.926860940237</v>
      </c>
      <c r="G126" s="12">
        <f t="shared" si="18"/>
        <v>7.5862399714987355E-3</v>
      </c>
      <c r="H126" s="12">
        <f t="shared" si="19"/>
        <v>6.3156203613976711E-2</v>
      </c>
      <c r="I126" s="12">
        <f t="shared" si="20"/>
        <v>0.92925755641452457</v>
      </c>
      <c r="J126" s="12">
        <f t="shared" si="21"/>
        <v>13.427644749552762</v>
      </c>
      <c r="K126" s="12">
        <f t="shared" si="22"/>
        <v>33.472787915407658</v>
      </c>
      <c r="L126" s="12">
        <f t="shared" si="23"/>
        <v>9.2925755641452454</v>
      </c>
      <c r="M126" s="12">
        <f t="shared" si="24"/>
        <v>13.427644749552762</v>
      </c>
      <c r="N126" s="12">
        <f t="shared" si="25"/>
        <v>33.472787915407658</v>
      </c>
      <c r="O126" s="12">
        <f t="shared" si="26"/>
        <v>9.2925755641452454</v>
      </c>
    </row>
    <row r="127" spans="1:15" x14ac:dyDescent="0.25">
      <c r="A127">
        <f>A126+dt</f>
        <v>3542.8279999999922</v>
      </c>
      <c r="B127">
        <f t="shared" si="16"/>
        <v>9.699999999999978</v>
      </c>
      <c r="C127" s="12">
        <f>C126-M126*Q_gw/$B$16*dt</f>
        <v>52.179162137807978</v>
      </c>
      <c r="D127" s="12">
        <f>D126-N126*Q_gw/$B$17*dt</f>
        <v>442.82146777648933</v>
      </c>
      <c r="E127" s="12">
        <f>E126-O126*Q_gw/$B$18*dt</f>
        <v>6556.9695022087517</v>
      </c>
      <c r="F127" s="12">
        <f t="shared" si="17"/>
        <v>7051.9701321230486</v>
      </c>
      <c r="G127" s="12">
        <f t="shared" si="18"/>
        <v>7.3992318685699044E-3</v>
      </c>
      <c r="H127" s="12">
        <f t="shared" si="19"/>
        <v>6.2794007841773802E-2</v>
      </c>
      <c r="I127" s="12">
        <f t="shared" si="20"/>
        <v>0.92980676028965636</v>
      </c>
      <c r="J127" s="12">
        <f t="shared" si="21"/>
        <v>13.096640407368731</v>
      </c>
      <c r="K127" s="12">
        <f t="shared" si="22"/>
        <v>33.280824156140113</v>
      </c>
      <c r="L127" s="12">
        <f t="shared" si="23"/>
        <v>9.2980676028965643</v>
      </c>
      <c r="M127" s="12">
        <f t="shared" si="24"/>
        <v>13.096640407368731</v>
      </c>
      <c r="N127" s="12">
        <f t="shared" si="25"/>
        <v>33.280824156140113</v>
      </c>
      <c r="O127" s="12">
        <f t="shared" si="26"/>
        <v>9.2980676028965643</v>
      </c>
    </row>
    <row r="128" spans="1:15" x14ac:dyDescent="0.25">
      <c r="A128">
        <f>A127+dt</f>
        <v>3579.3519999999921</v>
      </c>
      <c r="B128">
        <f t="shared" si="16"/>
        <v>9.7999999999999776</v>
      </c>
      <c r="C128" s="12">
        <f>C127-M127*Q_gw/$B$16*dt</f>
        <v>50.856219679990218</v>
      </c>
      <c r="D128" s="12">
        <f>D127-N127*Q_gw/$B$17*dt</f>
        <v>439.97066923751612</v>
      </c>
      <c r="E128" s="12">
        <f>E127-O127*Q_gw/$B$18*dt</f>
        <v>6556.2359605471147</v>
      </c>
      <c r="F128" s="12">
        <f t="shared" si="17"/>
        <v>7047.0628494646207</v>
      </c>
      <c r="G128" s="12">
        <f t="shared" si="18"/>
        <v>7.2166547633180063E-3</v>
      </c>
      <c r="H128" s="12">
        <f t="shared" si="19"/>
        <v>6.2433197863552697E-2</v>
      </c>
      <c r="I128" s="12">
        <f t="shared" si="20"/>
        <v>0.93035014737312938</v>
      </c>
      <c r="J128" s="12">
        <f t="shared" si="21"/>
        <v>12.773478931072871</v>
      </c>
      <c r="K128" s="12">
        <f t="shared" si="22"/>
        <v>33.089594867682926</v>
      </c>
      <c r="L128" s="12">
        <f t="shared" si="23"/>
        <v>9.3035014737312931</v>
      </c>
      <c r="M128" s="12">
        <f t="shared" si="24"/>
        <v>12.773478931072871</v>
      </c>
      <c r="N128" s="12">
        <f t="shared" si="25"/>
        <v>33.089594867682926</v>
      </c>
      <c r="O128" s="12">
        <f t="shared" si="26"/>
        <v>9.3035014737312931</v>
      </c>
    </row>
    <row r="129" spans="1:15" x14ac:dyDescent="0.25">
      <c r="A129">
        <f>A128+dt</f>
        <v>3615.875999999992</v>
      </c>
      <c r="B129">
        <f t="shared" si="16"/>
        <v>9.8999999999999773</v>
      </c>
      <c r="C129" s="12">
        <f>C128-M128*Q_gw/$B$16*dt</f>
        <v>49.565921016643777</v>
      </c>
      <c r="D129" s="12">
        <f>D128-N128*Q_gw/$B$17*dt</f>
        <v>437.13625118760723</v>
      </c>
      <c r="E129" s="12">
        <f>E128-O128*Q_gw/$B$18*dt</f>
        <v>6555.5019901974092</v>
      </c>
      <c r="F129" s="12">
        <f t="shared" si="17"/>
        <v>7042.2041624016601</v>
      </c>
      <c r="G129" s="12">
        <f t="shared" si="18"/>
        <v>7.0384101161503256E-3</v>
      </c>
      <c r="H129" s="12">
        <f t="shared" si="19"/>
        <v>6.2073782739994733E-2</v>
      </c>
      <c r="I129" s="12">
        <f t="shared" si="20"/>
        <v>0.930887807143855</v>
      </c>
      <c r="J129" s="12">
        <f t="shared" si="21"/>
        <v>12.457985905586076</v>
      </c>
      <c r="K129" s="12">
        <f t="shared" si="22"/>
        <v>32.899104852197212</v>
      </c>
      <c r="L129" s="12">
        <f t="shared" si="23"/>
        <v>9.3088780714385493</v>
      </c>
      <c r="M129" s="12">
        <f t="shared" si="24"/>
        <v>12.457985905586076</v>
      </c>
      <c r="N129" s="12">
        <f t="shared" si="25"/>
        <v>32.899104852197212</v>
      </c>
      <c r="O129" s="12">
        <f t="shared" si="26"/>
        <v>9.3088780714385493</v>
      </c>
    </row>
    <row r="130" spans="1:15" x14ac:dyDescent="0.25">
      <c r="A130">
        <f>A129+dt</f>
        <v>3652.3999999999919</v>
      </c>
      <c r="B130">
        <f t="shared" si="16"/>
        <v>9.9999999999999769</v>
      </c>
      <c r="C130" s="12">
        <f>C129-M129*Q_gw/$B$16*dt</f>
        <v>48.307491527801588</v>
      </c>
      <c r="D130" s="12">
        <f>D129-N129*Q_gw/$B$17*dt</f>
        <v>434.31815030145873</v>
      </c>
      <c r="E130" s="12">
        <f>E129-O129*Q_gw/$B$18*dt</f>
        <v>6554.7675956780176</v>
      </c>
      <c r="F130" s="12">
        <f t="shared" si="17"/>
        <v>7037.3932375072782</v>
      </c>
      <c r="G130" s="12">
        <f t="shared" si="18"/>
        <v>6.8644013340531515E-3</v>
      </c>
      <c r="H130" s="12">
        <f t="shared" si="19"/>
        <v>6.1715771116308826E-2</v>
      </c>
      <c r="I130" s="12">
        <f t="shared" si="20"/>
        <v>0.93141982754963804</v>
      </c>
      <c r="J130" s="12">
        <f t="shared" si="21"/>
        <v>12.149990361274078</v>
      </c>
      <c r="K130" s="12">
        <f t="shared" si="22"/>
        <v>32.709358691643679</v>
      </c>
      <c r="L130" s="12">
        <f t="shared" si="23"/>
        <v>9.3141982754963806</v>
      </c>
      <c r="M130" s="12">
        <f t="shared" si="24"/>
        <v>12.149990361274078</v>
      </c>
      <c r="N130" s="12">
        <f t="shared" si="25"/>
        <v>32.709358691643679</v>
      </c>
      <c r="O130" s="12">
        <f t="shared" si="26"/>
        <v>9.3141982754963806</v>
      </c>
    </row>
    <row r="131" spans="1:15" x14ac:dyDescent="0.25">
      <c r="C131" s="11"/>
      <c r="D131" s="11"/>
      <c r="E131" s="11"/>
      <c r="F131" s="6"/>
      <c r="G131" s="6"/>
      <c r="H131" s="6"/>
      <c r="I131" s="6"/>
      <c r="J131" s="6"/>
      <c r="K131" s="6"/>
      <c r="L131" s="6"/>
      <c r="M131" s="6"/>
      <c r="N131" s="6"/>
      <c r="O131" s="6"/>
    </row>
    <row r="132" spans="1:15" x14ac:dyDescent="0.25">
      <c r="C132" s="11"/>
      <c r="D132" s="11"/>
      <c r="E132" s="11"/>
      <c r="F132" s="6"/>
      <c r="G132" s="6"/>
      <c r="H132" s="6"/>
      <c r="I132" s="6"/>
      <c r="J132" s="6"/>
      <c r="K132" s="6"/>
      <c r="L132" s="6"/>
      <c r="M132" s="6"/>
      <c r="N132" s="6"/>
      <c r="O132" s="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Sheet1</vt:lpstr>
      <vt:lpstr>A</vt:lpstr>
      <vt:lpstr>b</vt:lpstr>
      <vt:lpstr>den_N</vt:lpstr>
      <vt:lpstr>dt</vt:lpstr>
      <vt:lpstr>i</vt:lpstr>
      <vt:lpstr>K</vt:lpstr>
      <vt:lpstr>M_N</vt:lpstr>
      <vt:lpstr>n</vt:lpstr>
      <vt:lpstr>q</vt:lpstr>
      <vt:lpstr>Q_gw</vt:lpstr>
      <vt:lpstr>V_N</vt:lpstr>
      <vt:lpstr>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Phillip de Blanc</dc:creator>
  <cp:lastModifiedBy>Phillip de Blanc</cp:lastModifiedBy>
  <dcterms:created xsi:type="dcterms:W3CDTF">2020-10-19T18:48:18Z</dcterms:created>
  <dcterms:modified xsi:type="dcterms:W3CDTF">2020-10-20T17:17:34Z</dcterms:modified>
</cp:coreProperties>
</file>